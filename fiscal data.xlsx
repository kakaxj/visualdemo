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71aae10ef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2" r:id="R7e004aa2c5f84b70"/>
    <x:sheet xmlns:r="http://schemas.openxmlformats.org/officeDocument/2006/relationships" name="Sheet2" sheetId="3" r:id="Rbbf78d3d8bd740ef"/>
    <x:sheet xmlns:r="http://schemas.openxmlformats.org/officeDocument/2006/relationships" name="Sheet3" sheetId="4" r:id="Rcb57be466f7048c6"/>
    <x:sheet xmlns:r="http://schemas.openxmlformats.org/officeDocument/2006/relationships" name="Sheet4" sheetId="5" r:id="Rfa9cf50f42664f15"/>
    <x:sheet xmlns:r="http://schemas.openxmlformats.org/officeDocument/2006/relationships" name="Sheet5" sheetId="6" r:id="R3511a3be67e446ce"/>
    <x:sheet xmlns:r="http://schemas.openxmlformats.org/officeDocument/2006/relationships" name="01_预算口径脉冲" sheetId="7" r:id="Rb455bd6d9b1842da"/>
    <x:sheet xmlns:r="http://schemas.openxmlformats.org/officeDocument/2006/relationships" name="02_收支口径脉冲" sheetId="8" r:id="Rb8268effd9a94a3e"/>
    <x:sheet xmlns:r="http://schemas.openxmlformats.org/officeDocument/2006/relationships" name="03_财政收支缺口与新增债务融资" sheetId="9" r:id="Re7b714ea3a8248ac"/>
    <x:sheet xmlns:r="http://schemas.openxmlformats.org/officeDocument/2006/relationships" name="04_一般公共预算收支缺口年内路径" sheetId="10" r:id="Re4a74536f5344b82"/>
    <x:sheet xmlns:r="http://schemas.openxmlformats.org/officeDocument/2006/relationships" name="05_一般公共预算收支增速差" sheetId="11" r:id="Ra26e6e784bb24fec"/>
    <x:sheet xmlns:r="http://schemas.openxmlformats.org/officeDocument/2006/relationships" name="06_政府性基金与土地出让收入" sheetId="13" r:id="R297477e255334770"/>
    <x:sheet xmlns:r="http://schemas.openxmlformats.org/officeDocument/2006/relationships" name="07_财政性存款月度变动" sheetId="15" r:id="R01d721b5a7484eba"/>
    <x:sheet xmlns:r="http://schemas.openxmlformats.org/officeDocument/2006/relationships" name="08_地方政府债券发行与净融资" sheetId="14" r:id="R3979e2d537ec4270"/>
    <x:sheet xmlns:r="http://schemas.openxmlformats.org/officeDocument/2006/relationships" name="09_地方政府债务余额" sheetId="16" r:id="R77b2e44aa0ac47a4"/>
    <x:sheet xmlns:r="http://schemas.openxmlformats.org/officeDocument/2006/relationships" name="10_新增专项债发行进度" sheetId="12" r:id="Rec88ad2cac2a403d"/>
  </x:sheets>
</x:workbook>
</file>

<file path=xl/comments1.xml><?xml version="1.0" encoding="utf-8"?>
<x:comments xmlns:x="http://schemas.openxmlformats.org/spreadsheetml/2006/main">
  <x:authors>
    <x:author>Jie Xu</x:author>
  </x:authors>
  <x:commentList>
    <x:comment ref="A1" authorId="0">
      <x:text>
        <x:r>
          <x:t>UEsDBBQACAgIAI1TDF0AAAAAAAAAAAAAAAABAAAAMM1Z62sUVxT3c/+KZcBvuXDvvGe+GWNaqS80FqxIuY8zm8HZme08RBFBUasW2ypIa2lUFEQLvgq26FKbf8ZZk/+iZ3Y22WiyZleyKoQw9855ze93zz3n3t01M73ti23btp3W4GQ7SfOdSRyETc0/rYmIx8fnEs1nU/XzNzwqQPM1qk1pCgJeRPkeHjcL3qxmZVxNh1k74qf2JqqaUq3dsQolz8OkehnGQfI1QPtwW/Ec31OcynZkUvPztIBq8FWoYLpypfkBjzI4M9WPai7MI9jf7hnC0HgU9WZ2RdCCOM/64lOaTIo4T0+tjhVkMg37erWXIIXvC4jlQAidxnkYhJCuyGS81Y5gVSCDCGQOqufzazi1J8xyzT+qpZDlSQr7eAvw84o4zLUqBPz2Y6iUFKkc2Mi5iGrJlZlKPlvxWPQwmenhsvLpLcjTENE5elr7Dt/ymbDZ09CRD2iGcS2tMc+jlBms8j2PfMBBkEmqUO9YPxpf20upaTPbRRmIZ4tY1pFoX0IMKY8aBwoRhbIxXagm5I2DcALiAvzGkbmZnkZfeud8GHO/MaLS4QoPVNp3pMEobVUrAMnksQK1igGczFMu8zneXEuP5pv4MIjy9YuzS5cflRfx76/lexfePPmte+Of8uJ9/83zp0tP7pZn/0XbzTQp2j1DfdvHASnWhM6VAOUQ3TU4MQ2HE08AEMcEEMDA9JwAteMVT4/LP175Iznss7/qL83X0VtZ7CyWF89rZ6a2jER7NBJ3nWwDZl9epMjJXJLzaDw+39L/OJw+LS91RuHUcF3mcQ4EAkWJaQpFuGM6xPCEBOQbdOaNxOk6h5+KU2/8xMR/yZEPys6BZp/O7ZNLzWtXu09vDGcSXCkDw3KJoZhFTGE7xDOVIMLiwnN12/FcOnZ2rvhcJbMOf2Mut28ljc4HpObYVA7Xngyda5NkEzodm9oMPJ1Yjot0GrZLhGG6mKJUmYYLTBcwdmJ+MjodOmZWzvGTm9XODUU+RqV8+DM+jV42ubSU5Xo2EaYEYqrAJpx6BqEB03Wd2YZnWeuYHOpkJOpG3FV1Sp3R+KPmmPztS2KSb87hULGPwOPyrds1yqO2P9SxuBRAPGnoxHSFJK5UJgkoUMWplMxd3/4MdbK1PDKd2gbdhEfPdh1vo70xOQFpXHX/pMVjPIKoBhKtsi1nZQiw1EL8cHMjtgiwr3RYQETAGDHtQHi24QZmsL4H6d5YLDsL3bMPyjud5UvXPxuEXWcchCfRGQ7r9KRydOYAYY5ElLGiEB7oBjFsm0ngyvIMfXOUh7d5HxdlfQOU9yQSN6Q9uGijYYivKTApj7MA0kYSNA5n0DgYNufzrBodyjGaBh7H1aQpcVxXOMLEHk2qACuD9AhXgSASj1VuYEhuOOspKReedX992V149KbzYOMkQKnuwpVy4Q6Kvn61+ObGw+6t88jb0pM/J58mDmObEGjZlmuaGxG4O8sKHkuoWKjJHNDYmE4wYSbNiK1bBjcsRkCvarWOZdqT0iGBYA7nlm4yyx7GSI+L8mynvPyi/OX60t2ry/duTRBpnVFdd9+H9LeWrZu6YwxNlXfRrbajMIVGkKSNfB4aB9IwlmF77XF3QrCbWFtdzyNMCNz3dW4RbuGQU1cwIZ3ANUeC/fKzLq76c4tLizcxQTAjPoeVvlFBmAGBmPNo2GqfINYW83TXxq3G86rjBJ4MCWe2RRzdsx3cg8ASclOsf7z7+tXvuL63viE1mb5pQ0qZrevvNqQH9073L2cQ3XaSoX3EOWlheNifDqZWGtc1i3/wcjbM5BoDGzB3qHcX2SsUdQmvkmUWX2GmoObuGN3lRXVLWrl/XyArT5WpQTDrYvAb+GVb3RN3Ot1n18sX5/zy2oXluy/Lxze7j/6rKfXLe+fLHy7WU375cvH1yyt94uuppef3cFwVnd54eMNse8qTXmAS5lrYMAvFiXC5IoIqxoVr0MBY39dh0i7d/qm70OnevrD094Wqqt263+1ceyvSt2N8X3T+6qeOu1SPVfIIXjY/d6pdX7HnYQtmU9Q5BHkexr2rfTkPsrrODwccRDzL94tqdZv1oDagRdUspCd6l/jV2kpENpsmrXo7sSijrJ7EDiTNd+T1PB3MV78g9Hb+fo60IQ0T1bferqz3zJ058z9QSwcI325WFVIGAACKGAAA</x:t>
        </x:r>
      </x:text>
    </x:comment>
  </x:commentList>
</x:comments>
</file>

<file path=xl/comments2.xml><?xml version="1.0" encoding="utf-8"?>
<x:comments xmlns:x="http://schemas.openxmlformats.org/spreadsheetml/2006/main">
  <x:authors>
    <x:author>Jie Xu</x:author>
  </x:authors>
  <x:commentList>
    <x:comment ref="A1" authorId="0">
      <x:text>
        <x:r>
          <x:t>UEsDBBQACAgIAONTDF0AAAAAAAAAAAAAAAABAAAAMLVVS2sUSxTO2l8RCu5uGro7PY/uXcw4GNTrYEZBJFzOVJ2eFPZUt9XVF0MIuHAh4kLwsfCBeDeujBsFieT+GmeM/8JT1ZOZS6I3LnQWQ9V5fOec76vqOtc9u3RmaWlph+HtItdmLVepHLFkhw0zUDcHOUuCRr2+BlmFLGE+azCBKVSZuQhqVMHIWrmyZlkWGWxfyoU1ifG6EpKDkbl1SpXmFxCLq4UAQ36fTOVqyVlidIV2c14KPGtLsSSFrMTdxqyrgTQZXi4cELUGWeYs5zIcozLlLLzBeF4po7fne4El13KWV1dJNd6qUPFFEBVVRqYS9VFMCeMiw3lAiRlyg8LVvIDbF2VpWHKDaSxNrvFPGCONVylpmG2BZt+kpLzSfIFhYJjVkUcWG18eVawcJ13Hy9HoYzRaEjs3dthf5IWuHLmMkPTAkVR1NAviTtsPVgJbe4v0wCvIcy0ob3PWTcIu+fRrBSHFoOpVitedsHWVZk6eZPl6ft15Z561LakgWV7rry9cV+2ECfuDOVlACRTzafC20cDNAEb/JZolES0W9Szc5OGD6bvHhDHSeVW4hBnGTSRRWMjbApqdyGsj+l7UaXc8aLXB47wVIk0aQgcoW9WInz++nTw/SBzwwaPpi3tz+Jk6c3RtTtDvhtltnMZv3Ar80/kNwrB9nN++zkXFUS/3SUksf8Ry/9ey3P8JlgFbAUZpywPup14EIvJixNALRdxc8TENwzg9wXL/97Ec+n7kU9H/Y7nnNyO/2Vo5znJvleijo6yhJFK4qTQ6Oulv0P0O3d+PH3R/pQaT5/uTvWeHH+5+3n8zvf+EFpO9B9N7D7/+8zKZvNr/8vrO4d6/06cHyZf37w73Xp8m1zAMYh4JugqQIl0KDh6IYep14iCGmHNIo/YJuX62h8mnfVoc72SubD3kD4XdtKFEQbk12C7qz7qRY+xpCt9AY6RyzwnfQm6fELlgMiP+Lw/tWYjqTQ3AMmtF/bf7MpXUSj4sezofu2MSNP3AD2rjhgFtVk1t9xd2+2qRKQyC0N3bArXMxQy9sOgObnf3G1BLBwjq1g6wGwMAAP4GAAA=</x:t>
        </x:r>
      </x:text>
    </x:comment>
  </x:commentList>
</x:comments>
</file>

<file path=xl/comments3.xml><?xml version="1.0" encoding="utf-8"?>
<x:comments xmlns:x="http://schemas.openxmlformats.org/spreadsheetml/2006/main">
  <x:authors>
    <x:author>Jie Xu</x:author>
  </x:authors>
  <x:commentList>
    <x:comment ref="A1" authorId="0">
      <x:text>
        <x:r>
          <x:t>UEsDBBQACAgIAAFUDF0AAAAAAAAAAAAAAAABAAAAMK1UXWsTQRTNs78iDPQtC/uZdPetbdoq/aRNhVKKTHbuJkN3Z9aZWW0oAUF88wv0QfDR56JvFrX4Zxr9G87sbpKKLQj6tnPm3HPuvWeZ1e5y406j0ThDcJpzoVY4S+gARWeon2J20uMoclrV932cFoAiZKMWIpDgIlWbmA0KPDBozAxMZZ7i0RYnBiLZPUZojBXl5pKyhG8A5Ac5wUrf2xqSSzJGkRIFmMNdSmDZWKEowamEcavuqkdVCjt5KaRbw2laIqspZMCUrOktFPOCKTGanQnIWNC6rnJJBDwsgMVzkjZliiYUxJQjcZanMCNISCFWQErPDRhtUqlQdIQESMUFbOMM9HgFowqZFvTsx7qIFyKeayjcTyvmFDF8OXUsyp10y71MR89ACaq3c3SGHuhb3KWDssLVecCAsoqNnDB0bc9zjPdQ5wF7EHNBdN1x3U2EtoKg3VnstDUH2FrB4qoTtN7dLaH6uDKkDEdNjUbNlUIIvZfmru4BZMk6MBNq1vZh07HtzGSq48GMAJlNBadK4Fj18OD6wlEU6I/ffKOfLz9dff2sNQaCF3lZUGucgA4HdXDiBm2fWI6fEMsnvm8ttheJFYQ+dvuJ58Y41NWsUry6OJ+8v4zmwtHk8s3k/MPkyTdNqpOaOQj1RxRG48v3ybOnaNz6Dwu3bS/0Av+GhTeXGCtw2lwX/LEaNveM6G0ZcCYVnoUQNQ/54fUkFv4tgauLF5NX78pdvX7+4+Pb27PAxEu82HMsCDq+5QdBxwqDkFhhp+07QRv3fc+9MYtrFlUcU6O/S2QBjY8NV08gh71RXr0aimawJjR9H5SirHyt4iHE5oWi80WkWKqdvsnPrw6VAEoNCuJR+S6ZP5v35Zrgmb5ybSewHdupwH2FhVpSFW7PcfMoash1HLf8C3IQlJNaPTfqpdx4/AtQSwcIy0K/D7wCAABdBQAA</x:t>
        </x:r>
      </x:text>
    </x:comment>
  </x:commentList>
</x:comments>
</file>

<file path=xl/comments4.xml><?xml version="1.0" encoding="utf-8"?>
<x:comments xmlns:x="http://schemas.openxmlformats.org/spreadsheetml/2006/main">
  <x:authors>
    <x:author>Jie Xu</x:author>
  </x:authors>
  <x:commentList>
    <x:comment ref="A1" authorId="0">
      <x:text>
        <x:r>
          <x:t>UEsDBBQACAgIAKBUDF0AAAAAAAAAAAAAAAABAAAAMM2XW2vcRhTH/dxPIeapBQt0W93efE1DbsWXQgimjGaO1iLakToauVmMwaVpcCGhpDF5aN2AQ6F56MUPLTgmab6MtV5/i85Ia69bx3HTbE3fds6c2/x/M7OjmenJsffGxsZWEdzJMy6mMhYnbRSuoijF7PZChkJzvPn9MU5LQCEy0DiiEOMyFVcxa5e4rayEKXNS5CnuXsuoMtHOZUYTgkWSqcmExdkVgHwxp1jIeUOaiomCoFDwEtTgw4TCpCqFwhinBayND7paSEQKN/I6kWwNp2ltmUmhA0wUA/dxRLKSCd49HlMoCE8GcU2VmMOnJTAydJJFmUjiBPiRT4E7eQrHDgWkQATQuuYV6F5NCoHCW4hDITIO13EH5PJKlgikWpBrX5JBWcnJMIfAUdp4HlmUf3FUsaw1ma51OVp6BwRPpDq3VtEnchZPJ+06wpI8oJ2wxhtZhukZpm2q2suSB8wByTiVcUuDbkJ0zTW9wAls6QOUKglJyXmjAtrf2+vtPKx2Px8C/IgDSYpaNVkN2NTQe+r6TZWFLarl1kPNNIyOAqykRWFrIIVK/Kr68gukKLLZkpFm+Wii3ebQls1rswnDjCSsrYlME8ugzQFOtRmSsazTDbVL2QpwpghrkxmjRV13kGRqWcaG2sTs3Iz2fpxmn31w2j/Ubi5Mn9Ws3FiYUaDHPOCO4JiIBdw+uVVQ6Mgfw+YPfvhj/8W3/ScP+r/f7f94t/dsO+xtvqr2tqr1vWpjVyZu86zM6yyDxLdB6RbYELmO7et2y7B0Bxuu7rsR6OB5hAaG0XIwldGsKbO/+3P13cvwnGrhwW+/9n/ZrtZfyMjBbjxqnotTu+0kkvP3lGnaxhv3VMtt+Y4dvIbK5aIoJVjQsli7mhHJ9DSa+VxuMTmjhqNgdIbskWG6xDd93YkDImV3Ld2nWFLAjuvTICYu+Kdkr7Z2eo+fn1S6+vphf/v+4dPvw/3dR4fbzwf6Vy8f9bY2/qb/oP4FAXBa/xLAdLIibz6qRV1tsQB5lCgd8bE5A4kVWRg8YulyjbEud1Cs49i2dM8n2GtJYEDNt0LSu//Vweazw/XNauObauNe2Hu8Uz198qYjMiJEvmmce+8GZiswR4/o5PH5r4HhVhz5kWfrtm17umM4nu6DReXVFdHYMWMnMsjogP3lgP0f6Bmjp3cJGPALomeBZwP1sW5aFHQHPEcPaBzpbsuMcBRgucS3uwHPobfe3/jpAuj90+vRHRG9OYiPXysXck0SEpiW41HdNyL5zwUW6JEXuHrku9QNYuwZ5N2uyereg+Zl8c60llSAXE+xvNDNm5e9SDowy2XMPAghNavfnMtA1FdEMpQlxYW4ESnATjNoEqBUWYGv1N8O6uGXRcUszzoN+5ZhGmZjnBeYiwnR2I2hXX24SJNlmlZ9yHPgSUYH2XOVvU63tvYnUEsHCM5dleA3BAAAAQ0AAA==</x:t>
        </x:r>
      </x:text>
    </x:comment>
  </x:commentList>
</x:comments>
</file>

<file path=xl/comments5.xml><?xml version="1.0" encoding="utf-8"?>
<x:comments xmlns:x="http://schemas.openxmlformats.org/spreadsheetml/2006/main">
  <x:authors>
    <x:author>Jie Xu</x:author>
  </x:authors>
  <x:commentList>
    <x:comment ref="A1" authorId="0">
      <x:text>
        <x:r>
          <x:t>UEsDBBQACAgIAFBMDF0AAAAAAAAAAAAAAAABAAAAMMWXW2scNxTH/dxPsQj6tgOai+b2ZnvtxPhW7HWhBGM00pn1NHOrRpvGmIVCG9JCaSm9PcSljclbSehDW2JD8ZfxOva3qDSz3nVJwGsS06cdHf2lc/nptguduZn3ZmZm9hE8LAsh54s8Tnoo3EdRSvP73QKFZrv5/pCmfUAhwqiNOMS0n8oVmvf6tKetLNfmpCpTurdacG3i2VLOE0ZlUujOJI+LZYByq+RUqn6sTNVsxVAoRR90427CYU67QmFM0woG7VFU3USmsF7WE6nQaJrWloUUMshlNZK3ESv6uRR74zaHiolkNK7xEgv4pA85m4iU01wmcQLiUlPRrExhLKggBSaB1z6XYW8lqSQK7yEBlSwErNEMVHr9PJFIh6By31aDir5gkzkkjdJGeWnR+urSY7+uSaeuy2XqGUiRqOrc20c7qpd2kl49wlI8oJfkjRpZ2MSmZZva967iARvACsHVuO1RNCFaJQ4mBFtKA3kTBZrfTXIatu4UD0DkuoytD0TxcZ1oq0tFD2QVthaTitG01YE4YYkMLz9aGxpqPduWTjtE76OaFc058HGK8FAKymSX9q5WH4VeG/VE0S/rjpH2PigiKIgch0SRYzgRcQ2HEzCo4wQG87ml1pxJfO4qT3mTwunL58Mn/4RnP5wMjw8uDr84O/j11ZMXZ789Ds//PFTW87+eDZ//HDY/r755rEaOmI3dCvkalDqbQfu6quNgyqo7b131lUI3r4z5r+Aqh/m1j1omxln+jnjEnod95hkxjbiCAsTwGY4N4kc2sTyLeRa9MY/hwR9nPx1dNU0N5vT4ZPjo82vpmEEwLR37renMK534n/gQcJjnB9ywTc0H29yIiI0Ni7o88plFwL35ftGyZy9uk486s9xr+biKj+ebN+bT7JbNEliifueKnFe3SMAG4rjcMw0IHGw4DEwjcn3bAIZZ5DsOI74zDYFmU5y+/P7i6dHws+N3X3HLeXPF91XBs0yVQd+sozBXZ++sLXW3OgtKXlKhjBJEpQWTnhDd3VrrbCx0dlaXVlaW1teUdty7s7kxrxTdjVHXYDCYkK2uYdqQDFtbqYKhcOY9Q7nPxkivSDXd1lJV9WnOoDWb6fs/fD2u24Ifk9gxAXPDjW1mODaxDT+wYoO5ESXc9rCHYart9/ejix9PdPuro+GXvyuVWgLDb787f/r1xeEvoWKs1wP9dL4p4Lqr9oWHg8a43JwEgY8pxa4RRYG6ObFlGZTGlkE8mwcQ2DimwS0sKnLdNp4LVFkcgqdDPiXiW0TKLY9btnp8QGASwyGmeoFQ21JfAXaBxxQ7U914byR5YwDbeoAKudrt7pXNm1kmGSzqLbkJUiZ5/VZnu8D0+zyZZJ7SSq5HmpnTNJoJUKqtIB7Ur3J9MBZRtSiKrDmViX5MNsZNSYWclY09mNj1XwJN3hyRL0EkBR/NXurZ6+kGg38BUEsHCDo4p0FDBAAAWwwAAA==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<x:sst xmlns:x="http://schemas.openxmlformats.org/spreadsheetml/2006/main">
  <x:si>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指标名称</x:t>
  </x:si>
  <x:si>
    <x:t xml:space="preserve">中国:一般公共预算收入:累计值</x:t>
  </x:si>
  <x:si>
    <x:t xml:space="preserve">中国:一般公共预算支出:累计值</x:t>
  </x:si>
  <x:si>
    <x:t xml:space="preserve">中国:一般公共预算收入:累计同比</x:t>
  </x:si>
  <x:si>
    <x:t xml:space="preserve">中国:一般公共预算支出:累计同比</x:t>
  </x:si>
  <x:si>
    <x:t xml:space="preserve">中国:税收收入:累计值</x:t>
  </x:si>
  <x:si>
    <x:t xml:space="preserve">中国:非税收入:累计值</x:t>
  </x:si>
  <x:si>
    <x:t xml:space="preserve">中国:政府性基金收入:累计值</x:t>
  </x:si>
  <x:si>
    <x:t xml:space="preserve">中国:政府性基金支出:累计值</x:t>
  </x:si>
  <x:si>
    <x:t xml:space="preserve">中国:地方本级政府性基金收入:国有土地使用权出让收入:累计值</x:t>
  </x:si>
  <x:si>
    <x:t xml:space="preserve">中国:地方政府债券发行额:累计值</x:t>
  </x:si>
  <x:si>
    <x:t xml:space="preserve">中国:地方政府债券到期偿还本金:累计值</x:t>
  </x:si>
  <x:si>
    <x:t xml:space="preserve">中国:地方政府债务余额</x:t>
  </x:si>
  <x:si>
    <x:t xml:space="preserve">中国:金融机构资金来源:各项存款:境内存款:政府存款:财政性存款:人民币</x:t>
  </x:si>
  <x:si>
    <x:t xml:space="preserve">单位</x:t>
  </x:si>
  <x:si>
    <x:t xml:space="preserve">亿元</x:t>
  </x:si>
  <x:si>
    <x:t xml:space="preserve">%</x:t>
  </x:si>
  <x:si>
    <x:t xml:space="preserve">指标ID</x:t>
  </x:si>
  <x:si>
    <x:t xml:space="preserve">M0046168</x:t>
  </x:si>
  <x:si>
    <x:t xml:space="preserve">M0046166</x:t>
  </x:si>
  <x:si>
    <x:t xml:space="preserve">M0046169</x:t>
  </x:si>
  <x:si>
    <x:t xml:space="preserve">M0046167</x:t>
  </x:si>
  <x:si>
    <x:t xml:space="preserve">M0046170</x:t>
  </x:si>
  <x:si>
    <x:t xml:space="preserve">M0046104</x:t>
  </x:si>
  <x:si>
    <x:t xml:space="preserve">M0096879</x:t>
  </x:si>
  <x:si>
    <x:t xml:space="preserve">M0096887</x:t>
  </x:si>
  <x:si>
    <x:t xml:space="preserve">M0096882</x:t>
  </x:si>
  <x:si>
    <x:t xml:space="preserve">M5658442</x:t>
  </x:si>
  <x:si>
    <x:t xml:space="preserve">Z5624273</x:t>
  </x:si>
  <x:si>
    <x:t xml:space="preserve">M5658447</x:t>
  </x:si>
  <x:si>
    <x:t xml:space="preserve">M0001622</x:t>
  </x:si>
  <x:si>
    <x:t xml:space="preserve">中国:CPI:当月同比</x:t>
  </x:si>
  <x:si>
    <x:t xml:space="preserve">中国:PPI:当月同比</x:t>
  </x:si>
  <x:si>
    <x:t xml:space="preserve">中国:固定资产投资完成额:基础设施建设:累计同比</x:t>
  </x:si>
  <x:si>
    <x:t xml:space="preserve">M0000612</x:t>
  </x:si>
  <x:si>
    <x:t xml:space="preserve">M0001227</x:t>
  </x:si>
  <x:si>
    <x:t xml:space="preserve">F0540563</x:t>
  </x:si>
  <x:si>
    <x:t xml:space="preserve">中国:GDP:现价:当季值</x:t>
  </x:si>
  <x:si>
    <x:t xml:space="preserve">中国:GDP:不变价:当季同比</x:t>
  </x:si>
  <x:si>
    <x:t xml:space="preserve">M5567876</x:t>
  </x:si>
  <x:si>
    <x:t xml:space="preserve">M0039354</x:t>
  </x:si>
  <x:si>
    <x:t xml:space="preserve">中国:社会融资规模:政府债券:累计值</x:t>
  </x:si>
  <x:si>
    <x:t xml:space="preserve">中国:地方政府债券发行额:专项债券:当月值</x:t>
  </x:si>
  <x:si>
    <x:t xml:space="preserve">中国:地方政府债券发行额:按用途划分:新增债券:累计值</x:t>
  </x:si>
  <x:si>
    <x:t xml:space="preserve">中国:地方政府债券发行额:按用途划分:新增债券:专项债券:累计值</x:t>
  </x:si>
  <x:si>
    <x:t xml:space="preserve">中国:地方政府债券发行额:按用途划分:新增债券:一般债券:累计值</x:t>
  </x:si>
  <x:si>
    <x:t xml:space="preserve">中国:地方政府债券发行额:按用途划分:再融资债券:累计值</x:t>
  </x:si>
  <x:si>
    <x:t xml:space="preserve">M6179493</x:t>
  </x:si>
  <x:si>
    <x:t xml:space="preserve">M5658439</x:t>
  </x:si>
  <x:si>
    <x:t xml:space="preserve">M5658445</x:t>
  </x:si>
  <x:si>
    <x:t xml:space="preserve">M6191591</x:t>
  </x:si>
  <x:si>
    <x:t xml:space="preserve">M6191590</x:t>
  </x:si>
  <x:si>
    <x:t xml:space="preserve">M5658446</x:t>
  </x:si>
  <x:si>
    <x:t xml:space="preserve">2020年有10000亿抗疫特别国债</x:t>
  </x:si>
  <x:si>
    <x:t xml:space="preserve">中国:政府预期目标:财政赤字:赤字率</x:t>
  </x:si>
  <x:si>
    <x:t xml:space="preserve">中国:政府预期目标:财政赤字:地方财政赤字</x:t>
  </x:si>
  <x:si>
    <x:t xml:space="preserve">中国:政府预期目标:财政赤字:中央财政赤字</x:t>
  </x:si>
  <x:si>
    <x:t xml:space="preserve">中国:政府预期目标:地方专项债</x:t>
  </x:si>
  <x:si>
    <x:t xml:space="preserve">中国:政府预期目标:超长期特别国债发行额:亿</x:t>
  </x:si>
  <x:si>
    <x:t xml:space="preserve">中国:政府预期目标:特别国债发行额</x:t>
  </x:si>
  <x:si>
    <x:t xml:space="preserve">一般公共预算支出预算数</x:t>
  </x:si>
  <x:si>
    <x:t xml:space="preserve">一般公共预算收入预算数</x:t>
  </x:si>
  <x:si>
    <x:r>
      <x:rPr>
        <x:sz val="12"/>
        <x:color rgb="FF000000"/>
        <x:rFont val="宋体"/>
        <x:family val="3"/>
      </x:rPr>
      <x:t xml:space="preserve">名义</x:t>
    </x:r>
    <x:r>
      <x:rPr>
        <x:sz val="12"/>
        <x:color rgb="FF000000"/>
        <x:rFont val="Times New Roman"/>
        <x:family val="1"/>
      </x:rPr>
      <x:t xml:space="preserve">GDP</x:t>
    </x:r>
    <x:r>
      <x:rPr>
        <x:sz val="12"/>
        <x:color rgb="FF000000"/>
        <x:rFont val="宋体"/>
        <x:family val="3"/>
      </x:rPr>
      <x:t xml:space="preserve">预算基数</x:t>
    </x:r>
  </x:si>
  <x:si>
    <x:t xml:space="preserve">M5405502</x:t>
  </x:si>
  <x:si>
    <x:t xml:space="preserve">M5405504</x:t>
  </x:si>
  <x:si>
    <x:t xml:space="preserve">M5405503</x:t>
  </x:si>
  <x:si>
    <x:t xml:space="preserve">M6405781</x:t>
  </x:si>
  <x:si>
    <x:t xml:space="preserve">s1</x:t>
  </x:si>
  <x:si>
    <x:t xml:space="preserve">B9435450</x:t>
  </x:si>
  <x:si>
    <x:t xml:space="preserve">https://www.mof.gov.cn/zhengwuxinxi/caizhengxinwen/201903/t20190318_3194653.htm</x:t>
  </x:si>
  <x:si>
    <x:t xml:space="preserve">https://www.mof.gov.cn/gkml/caizhengshuju/202005/t20200530_3523307.htm</x:t>
  </x:si>
  <x:si>
    <x:t xml:space="preserve">https://www.mof.gov.cn/zhengwuxinxi/caizhengxinwen/202103/t20210314_3670203.htm</x:t>
  </x:si>
  <x:si>
    <x:t xml:space="preserve">https://www.mof.gov.cn/zhengwuxinxi/caizhengxinwen/202203/t20220314_3794760.htm</x:t>
  </x:si>
  <x:si>
    <x:t xml:space="preserve">https://www.mof.gov.cn/gkml/caizhengshuju/202303/t20230316_3872867.htm</x:t>
  </x:si>
  <x:si>
    <x:t xml:space="preserve">https://www.12371.cn/2024/03/13/ARTI1710332235551259.shtml</x:t>
  </x:si>
  <x:si>
    <x:t xml:space="preserve">https://www.mof.gov.cn/zhengwuxinxi/caizhengxinwen/202503/t20250314_3959885.htm</x:t>
  </x:si>
  <x:si>
    <x:t xml:space="preserve">https://www.mof.gov.cn/zhengwuxinxi/caizhengxinwen/202603/t20260316_3985331.htm</x:t>
  </x:si>
</x:sst>
</file>

<file path=xl/styles.xml><?xml version="1.0" encoding="utf-8"?>
<x:styleSheet xmlns:x="http://schemas.openxmlformats.org/spreadsheetml/2006/main">
  <x:numFmts count="13">
    <x:numFmt numFmtId="176" formatCode="yyyy\-mm"/>
    <x:numFmt numFmtId="177" formatCode="#,##0.00_ "/>
    <x:numFmt numFmtId="178" formatCode="yyyy"/>
    <x:numFmt numFmtId="200" formatCode="0.00;[Red](0.00);-"/>
    <x:numFmt numFmtId="201" formatCode="#,##0;[Red](#,##0);-"/>
    <x:numFmt numFmtId="202" formatCode="yyyy-mm"/>
    <x:numFmt numFmtId="203" formatCode="0&quot;月&quot;"/>
    <x:numFmt numFmtId="204" formatCode="0.0;[Red](0.0);-"/>
    <x:numFmt numFmtId="205" formatCode="0"/>
    <x:numFmt numFmtId="206" formatCode="0.000;[Red](0.000);-"/>
    <x:numFmt numFmtId="207" formatCode="#,##0.00;[Red](#,##0.00);-"/>
    <x:numFmt numFmtId="208" formatCode="yyyy-mm-dd"/>
    <x:numFmt numFmtId="209" formatCode="0.0"/>
  </x:numFmts>
  <x:fonts count="28">
    <x:font>
      <x:sz val="12"/>
      <x:color theme="1"/>
      <x:name val="TimesNewRomanPSMT"/>
    </x:font>
    <x:font>
      <x:sz val="12"/>
      <x:color rgb="FF000000"/>
      <x:name val="Times New Roman"/>
    </x:font>
    <x:font>
      <x:sz val="12"/>
      <x:color rgb="FF000000"/>
      <x:name val="SimSun"/>
    </x:font>
    <x:font>
      <x:sz val="12"/>
      <x:color rgb="FF000000"/>
      <x:name val="Times New Roman"/>
    </x:font>
    <x:font>
      <x:b/>
      <x:sz val="12"/>
      <x:color rgb="FFFF0000"/>
      <x:name val="TimesNewRomanPSMT"/>
    </x:font>
    <x:font>
      <x:b/>
      <x:sz val="12"/>
      <x:color rgb="FFFF0000"/>
      <x:name val="Times New Roman"/>
    </x:font>
    <x:font>
      <x:sz val="12"/>
      <x:name val="Times New Roman"/>
    </x:font>
    <x:font>
      <x:sz val="12"/>
      <x:color rgb="FF0000FF"/>
      <x:name val="Times New Roman"/>
    </x:font>
    <x:font>
      <x:sz val="10"/>
      <x:name val="Noto Sans CJK SC"/>
    </x:font>
    <x:font>
      <x:sz val="12"/>
      <x:name val="TimesNewRomanPSMT"/>
    </x:font>
    <x:font>
      <x:sz val="12"/>
      <x:color theme="1"/>
      <x:name val="Times New Roman"/>
    </x:font>
    <x:font>
      <x:sz val="12"/>
      <x:color rgb="FF000000"/>
      <x:name val="宋体"/>
    </x:font>
    <x:font>
      <x:sz val="12"/>
      <x:color theme="1"/>
      <x:name val="TimesNewRomanPSMT"/>
    </x:font>
    <x:font>
      <x:sz val="9"/>
      <x:name val="TimesNewRomanPSMT"/>
    </x:font>
    <x:font>
      <x:sz val="10"/>
      <x:color rgb="FF000000"/>
      <x:name val="Microsoft YaHei UI"/>
    </x:font>
    <x:font>
      <x:sz val="12"/>
      <x:color rgb="FFFF0000"/>
      <x:name val="TimesNewRomanPSMT"/>
    </x:font>
    <x:font>
      <x:sz val="12"/>
      <x:color rgb="FF000000"/>
      <x:name val="SimSun"/>
    </x:font>
    <x:font>
      <x:sz val="12"/>
      <x:color rgb="FF000000"/>
      <x:name val="Times New Roman"/>
    </x:font>
    <x:font>
      <x:b/>
      <x:sz val="14"/>
      <x:color rgb="FFFFFFFF"/>
      <x:name val="TimesNewRomanPSMT"/>
    </x:font>
    <x:font>
      <x:i/>
      <x:sz val="10"/>
      <x:color rgb="FF666666"/>
      <x:name val="TimesNewRomanPSMT"/>
    </x:font>
    <x:font>
      <x:b/>
      <x:sz val="12"/>
      <x:color rgb="FF000000"/>
      <x:name val="TimesNewRomanPSMT"/>
    </x:font>
    <x:font>
      <x:sz val="12"/>
      <x:color rgb="FF0000FF"/>
      <x:name val="TimesNewRomanPSMT"/>
    </x:font>
    <x:font>
      <x:sz val="12"/>
      <x:color rgb="FF008000"/>
      <x:name val="TimesNewRomanPSMT"/>
    </x:font>
    <x:font>
      <x:b/>
      <x:sz val="12"/>
      <x:color rgb="FF0000FF"/>
      <x:name val="TimesNewRomanPSMT"/>
    </x:font>
    <x:font>
      <x:i/>
      <x:sz val="10"/>
      <x:color rgb="FF7A7A7A"/>
      <x:name val="TimesNewRomanPSMT"/>
    </x:font>
    <x:font>
      <x:b/>
      <x:sz val="12"/>
      <x:color rgb="FF222222"/>
      <x:name val="TimesNewRomanPSMT"/>
    </x:font>
    <x:font>
      <x:sz val="12"/>
      <x:color rgb="FF222222"/>
      <x:name val="TimesNewRomanPSMT"/>
    </x:font>
    <x:font>
      <x:sz val="12"/>
      <x:color rgb="FF179C35"/>
      <x:name val="TimesNewRomanPSMT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BFC7CE"/>
      </x:left>
      <x:right style="thin">
        <x:color rgb="FFBFC7CE"/>
      </x:right>
      <x:top style="thin">
        <x:color rgb="FFBFC7CE"/>
      </x:top>
      <x:bottom style="thin">
        <x:color rgb="FFBFC7CE"/>
      </x:bottom>
    </x:border>
    <x:border/>
    <x:border>
      <x:left style="thin">
        <x:color rgb="FFBFC7CE"/>
      </x:left>
      <x:right style="thin">
        <x:color rgb="FFBFC7CE"/>
      </x:right>
      <x:top style="thin">
        <x:color rgb="FFBFC7CE"/>
      </x:top>
      <x:bottom style="thin">
        <x:color rgb="FFBFC7CE"/>
      </x:bottom>
    </x:border>
    <x:border/>
    <x:border/>
  </x:borders>
  <x:cellStyleXfs count="1">
    <x:xf numFmtId="0" fontId="0" fillId="0" borderId="0" applyBorder="0">
      <x:alignment vertical="center"/>
    </x:xf>
  </x:cellStyleXfs>
  <x:cellXfs count="185">
    <x:xf numFmtId="0" fontId="0" fillId="0" borderId="0" xfId="0">
      <x:alignment vertical="center"/>
    </x:xf>
    <x:xf numFmtId="0" fontId="2" fillId="0" borderId="0" xfId="0" applyFont="1" applyAlignment="1"/>
    <x:xf numFmtId="0" fontId="3" fillId="0" borderId="0" xfId="0" applyFont="1" applyAlignment="1"/>
    <x:xf numFmtId="0" fontId="4" fillId="0" borderId="0" xfId="0" applyFont="1">
      <x:alignment vertical="center"/>
    </x:xf>
    <x:xf numFmtId="176" fontId="0" fillId="0" borderId="0" xfId="0" applyNumberFormat="1">
      <x:alignment vertical="center"/>
    </x:xf>
    <x:xf numFmtId="177" fontId="0" fillId="0" borderId="0" xfId="0" applyNumberFormat="1">
      <x:alignment vertical="center"/>
    </x:xf>
    <x:xf numFmtId="0" fontId="5" fillId="0" borderId="1" xfId="0" applyFont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176" fontId="6" fillId="0" borderId="0" xfId="0" applyNumberFormat="1" applyFont="1" applyAlignment="1">
      <x:alignment horizontal="left" vertical="center"/>
    </x:xf>
    <x:xf numFmtId="177" fontId="6" fillId="0" borderId="0" xfId="0" applyNumberFormat="1" applyFont="1" applyAlignment="1">
      <x:alignment horizontal="left" vertical="center"/>
    </x:xf>
    <x:xf numFmtId="0" fontId="7" fillId="0" borderId="1" xfId="0" applyFont="1" applyBorder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8" fillId="0" borderId="1" xfId="0" applyFont="1" applyBorder="1" applyAlignment="1">
      <x:alignment horizontal="left" vertical="center"/>
    </x:xf>
    <x:xf numFmtId="176" fontId="0" fillId="0" borderId="0" xfId="0" applyNumberFormat="1" applyAlignment="1">
      <x:alignment horizontal="left" vertical="center"/>
    </x:xf>
    <x:xf numFmtId="0" fontId="9" fillId="0" borderId="0" xfId="0" applyFont="1">
      <x:alignment vertical="center"/>
    </x:xf>
    <x:xf numFmtId="176" fontId="10" fillId="0" borderId="0" xfId="0" applyNumberFormat="1" applyFont="1" applyAlignment="1">
      <x:alignment horizontal="left" vertical="center"/>
    </x:xf>
    <x:xf numFmtId="177" fontId="10" fillId="0" borderId="0" xfId="0" applyNumberFormat="1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177" fontId="9" fillId="0" borderId="0" xfId="0" applyNumberFormat="1" applyFont="1">
      <x:alignment vertical="center"/>
    </x:xf>
    <x:xf numFmtId="0" fontId="15" fillId="0" borderId="0" xfId="0" applyFont="1">
      <x:alignment vertical="center"/>
    </x:xf>
    <x:xf numFmtId="178" fontId="0" fillId="0" borderId="0" xfId="0" applyNumberFormat="1">
      <x:alignment vertical="center"/>
    </x:xf>
    <x:xf numFmtId="177" fontId="4" fillId="0" borderId="0" xfId="0" applyNumberFormat="1" applyFont="1">
      <x:alignment vertical="center"/>
    </x:xf>
    <x:xf numFmtId="0" fontId="16" fillId="0" borderId="0" xfId="0" applyFont="1" applyAlignment="1"/>
    <x:xf numFmtId="0" fontId="17" fillId="0" borderId="0" xfId="0" applyFont="1" applyAlignment="1"/>
    <x:xf numFmtId="0" fontId="12" fillId="0" borderId="0" xfId="0" applyFont="1">
      <x:alignment vertical="center"/>
    </x:xf>
    <x:xf numFmtId="3" fontId="6" fillId="0" borderId="0" xfId="0" applyNumberFormat="1" applyFont="1" applyAlignment="1"/>
    <x:xf numFmtId="1" fontId="6" fillId="0" borderId="0" xfId="0" applyNumberFormat="1" applyFont="1" applyAlignment="1"/>
    <x:xf numFmtId="0" fontId="5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177" fontId="10" fillId="0" borderId="0" xfId="0" applyNumberFormat="1" applyFont="1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177" fontId="9" fillId="0" borderId="0" xfId="0" applyNumberFormat="1" applyFont="1" applyAlignment="1">
      <x:alignment horizontal="center" vertical="center"/>
    </x:xf>
    <x:xf numFmtId="176" fontId="9" fillId="0" borderId="0" xfId="0" applyNumberFormat="1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77" fontId="6" fillId="0" borderId="0" xfId="0" applyNumberFormat="1" applyFont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/>
    <x:xf numFmtId="0" fontId="1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176" fontId="0" fillId="0" borderId="2" xfId="0" applyNumberFormat="1" applyFont="1" applyFill="1" applyBorder="1" applyAlignment="1">
      <x:alignment vertical="center"/>
    </x:xf>
    <x:xf numFmtId="177" fontId="0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6" fillId="0" borderId="3" xfId="0" applyNumberFormat="1" applyFont="1" applyFill="1" applyBorder="1" applyAlignment="1">
      <x:alignment horizontal="left" vertical="center"/>
    </x:xf>
    <x:xf numFmtId="0" fontId="6" fillId="0" borderId="2" xfId="0" applyNumberFormat="1" applyFont="1" applyFill="1" applyBorder="1" applyAlignment="1">
      <x:alignment horizontal="left" vertical="center"/>
    </x:xf>
    <x:xf numFmtId="176" fontId="6" fillId="0" borderId="2" xfId="0" applyNumberFormat="1" applyFont="1" applyFill="1" applyBorder="1" applyAlignment="1">
      <x:alignment horizontal="left" vertical="center"/>
    </x:xf>
    <x:xf numFmtId="177" fontId="6" fillId="0" borderId="2" xfId="0" applyNumberFormat="1" applyFont="1" applyFill="1" applyBorder="1" applyAlignment="1">
      <x:alignment horizontal="left" vertical="center"/>
    </x:xf>
    <x:xf numFmtId="0" fontId="7" fillId="0" borderId="3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8" fillId="0" borderId="3" xfId="0" applyNumberFormat="1" applyFont="1" applyFill="1" applyBorder="1" applyAlignment="1">
      <x:alignment horizontal="left" vertical="center"/>
    </x:xf>
    <x:xf numFmtId="176" fontId="0" fillId="0" borderId="2" xfId="0" applyNumberFormat="1" applyFont="1" applyFill="1" applyBorder="1" applyAlignment="1">
      <x:alignment horizontal="left" vertical="center"/>
    </x:xf>
    <x:xf numFmtId="0" fontId="9" fillId="0" borderId="2" xfId="0" applyNumberFormat="1" applyFont="1" applyFill="1" applyBorder="1" applyAlignment="1">
      <x:alignment vertical="center"/>
    </x:xf>
    <x:xf numFmtId="176" fontId="10" fillId="0" borderId="2" xfId="0" applyNumberFormat="1" applyFont="1" applyFill="1" applyBorder="1" applyAlignment="1">
      <x:alignment horizontal="left" vertical="center"/>
    </x:xf>
    <x:xf numFmtId="177" fontId="10" fillId="0" borderId="2" xfId="0" applyNumberFormat="1" applyFont="1" applyFill="1" applyBorder="1" applyAlignment="1">
      <x:alignment horizontal="left" vertical="center"/>
    </x:xf>
    <x:xf numFmtId="0" fontId="10" fillId="0" borderId="2" xfId="0" applyNumberFormat="1" applyFont="1" applyFill="1" applyBorder="1" applyAlignment="1">
      <x:alignment horizontal="left" vertical="center"/>
    </x:xf>
    <x:xf numFmtId="177" fontId="9" fillId="0" borderId="2" xfId="0" applyNumberFormat="1" applyFont="1" applyFill="1" applyBorder="1" applyAlignment="1">
      <x:alignment vertical="center"/>
    </x:xf>
    <x:xf numFmtId="0" fontId="15" fillId="0" borderId="2" xfId="0" applyNumberFormat="1" applyFont="1" applyFill="1" applyBorder="1" applyAlignment="1">
      <x:alignment vertical="center"/>
    </x:xf>
    <x:xf numFmtId="178" fontId="0" fillId="0" borderId="2" xfId="0" applyNumberFormat="1" applyFont="1" applyFill="1" applyBorder="1" applyAlignment="1">
      <x:alignment vertical="center"/>
    </x:xf>
    <x:xf numFmtId="177" fontId="4" fillId="0" borderId="2" xfId="0" applyNumberFormat="1" applyFont="1" applyFill="1" applyBorder="1" applyAlignment="1">
      <x:alignment vertical="center"/>
    </x:xf>
    <x:xf numFmtId="3" fontId="6" fillId="0" borderId="2" xfId="0" applyNumberFormat="1" applyFont="1" applyFill="1" applyBorder="1"/>
    <x:xf numFmtId="1" fontId="6" fillId="0" borderId="2" xfId="0" applyNumberFormat="1" applyFont="1" applyFill="1" applyBorder="1"/>
    <x:xf numFmtId="0" fontId="5" fillId="0" borderId="2" xfId="0" applyNumberFormat="1" applyFont="1" applyFill="1" applyBorder="1" applyAlignment="1">
      <x:alignment horizontal="left" vertical="center"/>
    </x:xf>
    <x:xf numFmtId="0" fontId="1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177" fontId="10" fillId="0" borderId="2" xfId="0" applyNumberFormat="1" applyFont="1" applyFill="1" applyBorder="1" applyAlignment="1">
      <x:alignment horizontal="center" vertical="center"/>
    </x:xf>
    <x:xf numFmtId="177" fontId="0" fillId="0" borderId="2" xfId="0" applyNumberFormat="1" applyFont="1" applyFill="1" applyBorder="1" applyAlignment="1">
      <x:alignment horizontal="center" vertical="center"/>
    </x:xf>
    <x:xf numFmtId="177" fontId="9" fillId="0" borderId="2" xfId="0" applyNumberFormat="1" applyFont="1" applyFill="1" applyBorder="1" applyAlignment="1">
      <x:alignment horizontal="center" vertical="center"/>
    </x:xf>
    <x:xf numFmtId="176" fontId="9" fillId="0" borderId="2" xfId="0" applyNumberFormat="1" applyFont="1" applyFill="1" applyBorder="1" applyAlignment="1">
      <x:alignment horizontal="left" vertical="center"/>
    </x:xf>
    <x:xf numFmtId="0" fontId="9" fillId="0" borderId="2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177" fontId="6" fillId="0" borderId="2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horizontal="left" vertical="center"/>
    </x:xf>
    <x:xf numFmtId="0" fontId="0" fillId="2" borderId="2" xfId="0" applyNumberFormat="1" applyFont="1" applyFill="1" applyBorder="1" applyAlignment="1">
      <x:alignment vertical="center"/>
    </x:xf>
    <x:xf numFmtId="0" fontId="18" fillId="2" borderId="2" xfId="0" applyNumberFormat="1" applyFont="1" applyFill="1" applyBorder="1" applyAlignment="1">
      <x:alignment vertical="center"/>
    </x:xf>
    <x:xf numFmtId="0" fontId="18" fillId="2" borderId="2" xfId="0" applyNumberFormat="1" applyFont="1" applyFill="1" applyBorder="1" applyAlignment="1">
      <x:alignment horizontal="left"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1"/>
    </x:xf>
    <x:xf numFmtId="0" fontId="19" fillId="0" borderId="2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20" fillId="3" borderId="0" xfId="0" applyNumberFormat="1" applyFont="1" applyFill="1" applyBorder="1" applyAlignment="1">
      <x:alignment vertical="center"/>
    </x:xf>
    <x:xf numFmtId="0" fontId="20" fillId="3" borderId="4" xfId="0" applyNumberFormat="1" applyFont="1" applyFill="1" applyBorder="1" applyAlignment="1">
      <x:alignment vertical="center"/>
    </x:xf>
    <x:xf numFmtId="0" fontId="20" fillId="3" borderId="4" xfId="0" applyNumberFormat="1" applyFont="1" applyFill="1" applyBorder="1" applyAlignment="1">
      <x:alignment vertical="center" wrapText="1"/>
    </x:xf>
    <x:xf numFmtId="0" fontId="20" fillId="3" borderId="4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vertical="center"/>
    </x:xf>
    <x:xf numFmtId="0" fontId="20" fillId="3" borderId="2" xfId="0" applyNumberFormat="1" applyFont="1" applyFill="1" applyBorder="1" applyAlignment="1">
      <x:alignment vertical="center"/>
    </x:xf>
    <x:xf numFmtId="0" fontId="20" fillId="3" borderId="5" xfId="0" applyNumberFormat="1" applyFont="1" applyFill="1" applyBorder="1" applyAlignment="1">
      <x:alignment vertical="center"/>
    </x:xf>
    <x:xf numFmtId="0" fontId="20" fillId="3" borderId="5" xfId="0" applyNumberFormat="1" applyFont="1" applyFill="1" applyBorder="1" applyAlignment="1">
      <x:alignment vertical="center" wrapText="1"/>
    </x:xf>
    <x:xf numFmtId="0" fontId="20" fillId="3" borderId="5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/>
    </x:xf>
    <x:xf numFmtId="0" fontId="21" fillId="0" borderId="2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2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2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22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21" fillId="0" borderId="0" xfId="0" applyNumberFormat="1" applyFont="1" applyFill="1" applyBorder="1" applyAlignment="1">
      <x:alignment vertical="center"/>
    </x:xf>
    <x:xf numFmtId="202" fontId="21" fillId="0" borderId="2" xfId="0" applyNumberFormat="1" applyFont="1" applyFill="1" applyBorder="1" applyAlignment="1">
      <x:alignment vertical="center"/>
    </x:xf>
    <x:xf numFmtId="200" fontId="22" fillId="0" borderId="0" xfId="0" applyNumberFormat="1" applyFont="1" applyFill="1" applyBorder="1" applyAlignment="1">
      <x:alignment vertical="center"/>
    </x:xf>
    <x:xf numFmtId="200" fontId="22" fillId="0" borderId="2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3" fontId="21" fillId="0" borderId="0" xfId="0" applyNumberFormat="1" applyFont="1" applyFill="1" applyBorder="1" applyAlignment="1">
      <x:alignment vertical="center"/>
    </x:xf>
    <x:xf numFmtId="203" fontId="21" fillId="0" borderId="2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0" fontId="23" fillId="3" borderId="4" xfId="0" applyNumberFormat="1" applyFont="1" applyFill="1" applyBorder="1" applyAlignment="1">
      <x:alignment horizontal="center" vertical="center" wrapText="1"/>
    </x:xf>
    <x:xf numFmtId="0" fontId="23" fillId="3" borderId="5" xfId="0" applyNumberFormat="1" applyFont="1" applyFill="1" applyBorder="1" applyAlignment="1">
      <x:alignment horizontal="center" vertical="center" wrapText="1"/>
    </x:xf>
    <x:xf numFmtId="204" fontId="22" fillId="0" borderId="0" xfId="0" applyNumberFormat="1" applyFont="1" applyFill="1" applyBorder="1" applyAlignment="1">
      <x:alignment vertical="center"/>
    </x:xf>
    <x:xf numFmtId="204" fontId="22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176" fontId="0" fillId="0" borderId="0" xfId="0" applyNumberFormat="1" applyFont="1" applyFill="1" applyBorder="1" applyAlignment="1">
      <x:alignment vertical="center"/>
    </x:xf>
    <x:xf numFmtId="177" fontId="0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/>
    </x:xf>
    <x:xf numFmtId="176" fontId="6" fillId="0" borderId="0" xfId="0" applyNumberFormat="1" applyFont="1" applyFill="1" applyBorder="1" applyAlignment="1">
      <x:alignment horizontal="left" vertical="center"/>
    </x:xf>
    <x:xf numFmtId="177" fontId="6" fillId="0" borderId="0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 applyAlignment="1">
      <x:alignment horizontal="left" vertical="center"/>
    </x:xf>
    <x:xf numFmtId="176" fontId="0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vertical="center"/>
    </x:xf>
    <x:xf numFmtId="176" fontId="10" fillId="0" borderId="0" xfId="0" applyNumberFormat="1" applyFont="1" applyFill="1" applyBorder="1" applyAlignment="1">
      <x:alignment horizontal="left" vertical="center"/>
    </x:xf>
    <x:xf numFmtId="177" fontId="10" fillId="0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horizontal="left" vertical="center"/>
    </x:xf>
    <x:xf numFmtId="177" fontId="9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178" fontId="0" fillId="0" borderId="0" xfId="0" applyNumberFormat="1" applyFont="1" applyFill="1" applyBorder="1" applyAlignment="1">
      <x:alignment vertical="center"/>
    </x:xf>
    <x:xf numFmtId="177" fontId="4" fillId="0" borderId="0" xfId="0" applyNumberFormat="1" applyFont="1" applyFill="1" applyBorder="1" applyAlignment="1">
      <x:alignment vertical="center"/>
    </x:xf>
    <x:xf numFmtId="3" fontId="6" fillId="0" borderId="0" xfId="0" applyNumberFormat="1" applyFont="1" applyFill="1" applyBorder="1"/>
    <x:xf numFmtId="1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177" fontId="10" fillId="0" borderId="0" xfId="0" applyNumberFormat="1" applyFont="1" applyFill="1" applyBorder="1" applyAlignment="1">
      <x:alignment horizontal="center" vertical="center"/>
    </x:xf>
    <x:xf numFmtId="177" fontId="0" fillId="0" borderId="0" xfId="0" applyNumberFormat="1" applyFont="1" applyFill="1" applyBorder="1" applyAlignment="1">
      <x:alignment horizontal="center" vertical="center"/>
    </x:xf>
    <x:xf numFmtId="177" fontId="9" fillId="0" borderId="0" xfId="0" applyNumberFormat="1" applyFont="1" applyFill="1" applyBorder="1" applyAlignment="1">
      <x:alignment horizontal="center" vertical="center"/>
    </x:xf>
    <x:xf numFmtId="176" fontId="9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177" fontId="6" fillId="0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 applyAlignment="1">
      <x:alignment vertical="center" wrapText="1"/>
    </x:xf>
    <x:xf numFmtId="0" fontId="20" fillId="3" borderId="0" xfId="0" applyNumberFormat="1" applyFont="1" applyFill="1" applyBorder="1" applyAlignment="1">
      <x:alignment horizontal="center" vertical="center" wrapText="1"/>
    </x:xf>
    <x:xf numFmtId="0" fontId="23" fillId="3" borderId="0" xfId="0" applyNumberFormat="1" applyFont="1" applyFill="1" applyBorder="1" applyAlignment="1">
      <x:alignment horizontal="center" vertical="center" wrapText="1"/>
    </x:xf>
    <x:xf numFmtId="205" fontId="21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7" fontId="22" fillId="0" borderId="0" xfId="0" applyNumberFormat="1" applyFont="1" applyFill="1" applyBorder="1" applyAlignment="1">
      <x:alignment vertical="center"/>
    </x:xf>
    <x:xf numFmtId="206" fontId="22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18" fillId="4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25" fillId="5" borderId="0" xfId="0" applyNumberFormat="1" applyFont="1" applyFill="1" applyBorder="1" applyAlignment="1">
      <x:alignment vertical="center"/>
    </x:xf>
    <x:xf numFmtId="0" fontId="25" fillId="5" xfId="0" applyNumberFormat="1" applyFont="1" applyFill="1" applyBorder="0" applyAlignment="1">
      <x:alignment vertical="center"/>
    </x:xf>
    <x:xf numFmtId="0" fontId="25" fillId="5" xfId="0" applyNumberFormat="1" applyFont="1" applyFill="1" applyBorder="0" applyAlignment="1">
      <x:alignment vertical="center" wrapText="1"/>
    </x:xf>
    <x:xf numFmtId="0" fontId="25" fillId="5" xfId="0" applyNumberFormat="1" applyFont="1" applyFill="1" applyBorder="0" applyAlignment="1">
      <x:alignment horizontal="center" vertical="center" wrapText="1"/>
    </x:xf>
    <x:xf numFmtId="203" fontId="0" fillId="0" xfId="0" applyNumberFormat="1" applyFont="1" applyFill="1" applyBorder="0" applyAlignment="1">
      <x:alignment vertical="center"/>
    </x:xf>
    <x:xf numFmtId="201" fontId="0" fillId="0" xfId="0" applyNumberFormat="1" applyFont="1" applyFill="1" applyBorder="0" applyAlignment="1">
      <x:alignment vertical="center"/>
    </x:xf>
    <x:xf numFmtId="0" fontId="23" fillId="5" xfId="0" applyNumberFormat="1" applyFont="1" applyFill="1" applyBorder="0" applyAlignment="1">
      <x:alignment horizontal="center" vertical="center" wrapText="1"/>
    </x:xf>
    <x:xf numFmtId="201" fontId="26" fillId="0" xfId="0" applyNumberFormat="1" applyFont="1" applyFill="1" applyBorder="0" applyAlignment="1">
      <x:alignment vertical="center"/>
    </x:xf>
    <x:xf numFmtId="203" fontId="21" fillId="0" xfId="0" applyNumberFormat="1" applyFont="1" applyFill="1" applyBorder="0" applyAlignment="1">
      <x:alignment vertical="center"/>
    </x:xf>
    <x:xf numFmtId="204" fontId="27" fillId="0" borderId="0" xfId="0" applyNumberFormat="1" applyFont="1" applyFill="1" applyBorder="1" applyAlignment="1">
      <x:alignment vertical="center"/>
    </x:xf>
    <x:xf numFmtId="201" fontId="27" fillId="0" borderId="0" xfId="0" applyNumberFormat="1" applyFont="1" applyFill="1" applyBorder="1" applyAlignment="1">
      <x:alignment vertical="center"/>
    </x:xf>
    <x:xf numFmtId="207" fontId="27" fillId="0" borderId="0" xfId="0" applyNumberFormat="1" applyFont="1" applyFill="1" applyBorder="1" applyAlignment="1">
      <x:alignment vertical="center"/>
    </x:xf>
    <x:xf numFmtId="208" fontId="24" fillId="0" borderId="0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 applyAlignment="1">
      <x:alignment vertical="center"/>
    </x:xf>
    <x:xf numFmtId="209" fontId="27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0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9357f03554fcb" /><Relationship Type="http://schemas.openxmlformats.org/officeDocument/2006/relationships/theme" Target="/xl/theme/theme1.xml" Id="Rb7f779fd8f1f4904" /><Relationship Type="http://schemas.openxmlformats.org/officeDocument/2006/relationships/sharedStrings" Target="/xl/sharedStrings.xml" Id="R9f5f78bab8e74178" /><Relationship Type="http://schemas.openxmlformats.org/officeDocument/2006/relationships/worksheet" Target="/xl/worksheets/sheet1.xml" Id="R7e004aa2c5f84b70" /><Relationship Type="http://schemas.openxmlformats.org/officeDocument/2006/relationships/worksheet" Target="/xl/worksheets/sheet2.xml" Id="Rbbf78d3d8bd740ef" /><Relationship Type="http://schemas.openxmlformats.org/officeDocument/2006/relationships/worksheet" Target="/xl/worksheets/sheet3.xml" Id="Rcb57be466f7048c6" /><Relationship Type="http://schemas.openxmlformats.org/officeDocument/2006/relationships/worksheet" Target="/xl/worksheets/sheet4.xml" Id="Rfa9cf50f42664f15" /><Relationship Type="http://schemas.openxmlformats.org/officeDocument/2006/relationships/worksheet" Target="/xl/worksheets/sheet5.xml" Id="R3511a3be67e446ce" /><Relationship Type="http://schemas.openxmlformats.org/officeDocument/2006/relationships/worksheet" Target="/xl/worksheets/sheet6.xml" Id="Rb455bd6d9b1842da" /><Relationship Type="http://schemas.openxmlformats.org/officeDocument/2006/relationships/worksheet" Target="/xl/worksheets/sheet7.xml" Id="Rb8268effd9a94a3e" /><Relationship Type="http://schemas.openxmlformats.org/officeDocument/2006/relationships/worksheet" Target="/xl/worksheets/sheet8.xml" Id="Re7b714ea3a8248ac" /><Relationship Type="http://schemas.openxmlformats.org/officeDocument/2006/relationships/worksheet" Target="/xl/worksheets/sheet9.xml" Id="Re4a74536f5344b82" /><Relationship Type="http://schemas.openxmlformats.org/officeDocument/2006/relationships/worksheet" Target="/xl/worksheets/sheet10.xml" Id="Ra26e6e784bb24fec" /><Relationship Type="http://schemas.openxmlformats.org/officeDocument/2006/relationships/worksheet" Target="/xl/worksheets/sheet11.xml" Id="R297477e255334770" /><Relationship Type="http://schemas.openxmlformats.org/officeDocument/2006/relationships/worksheet" Target="/xl/worksheets/sheet12.xml" Id="R01d721b5a7484eba" /><Relationship Type="http://schemas.openxmlformats.org/officeDocument/2006/relationships/worksheet" Target="/xl/worksheets/sheet13.xml" Id="R3979e2d537ec4270" /><Relationship Type="http://schemas.openxmlformats.org/officeDocument/2006/relationships/worksheet" Target="/xl/worksheets/sheet14.xml" Id="R77b2e44aa0ac47a4" /><Relationship Type="http://schemas.openxmlformats.org/officeDocument/2006/relationships/worksheet" Target="/xl/worksheets/sheet15.xml" Id="Rec88ad2cac2a403d" /><Relationship Type="http://schemas.microsoft.com/office/2017/10/relationships/person" Target="/xl/persons/person.xml" Id="R5b3a44bb2bf445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d493a3d4e346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7691122c9b2478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e603ca35ff47e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f26cf406381467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0a97aa70acd4ac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192ee1f9f354c4a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e8a371f3afa448c5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a7b7d6737c4d4d1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b33421b9d8844be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bd49401cadd946c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广义安排占GDP</c:v>
          </c:tx>
          <c:marker>
            <c:symbol val="none"/>
          </c:marker>
          <c:cat>
            <c:strRef>
              <c:f>'01_预算口径脉冲'!$A$6:$A$10</c:f>
              <c:strCache>
                <c:ptCount val="0"/>
              </c:strCache>
            </c:strRef>
          </c:cat>
          <c:val>
            <c:numRef>
              <c:f>'01_预算口径脉冲'!$B$6:$B$10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预算口径脉冲</c:v>
          </c:tx>
          <c:marker>
            <c:symbol val="none"/>
          </c:marker>
          <c:cat>
            <c:strRef>
              <c:f>'01_预算口径脉冲'!$A$6:$A$10</c:f>
              <c:strCache>
                <c:ptCount val="0"/>
              </c:strCache>
            </c:strRef>
          </c:cat>
          <c:val>
            <c:numRef>
              <c:f>'01_预算口径脉冲'!$C$6:$C$10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净脉冲</c:v>
          </c:tx>
          <c:marker>
            <c:symbol val="none"/>
          </c:marker>
          <c:cat>
            <c:strRef>
              <c:f>'02_收支口径脉冲'!$A$29:$A$82</c:f>
              <c:strCache>
                <c:ptCount val="0"/>
              </c:strCache>
            </c:strRef>
          </c:cat>
          <c:val>
            <c:numRef>
              <c:f>'02_收支口径脉冲'!$B$29:$B$82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分子效应</c:v>
          </c:tx>
          <c:marker>
            <c:symbol val="none"/>
          </c:marker>
          <c:cat>
            <c:strRef>
              <c:f>'02_收支口径脉冲'!$A$29:$A$82</c:f>
              <c:strCache>
                <c:ptCount val="0"/>
              </c:strCache>
            </c:strRef>
          </c:cat>
          <c:val>
            <c:numRef>
              <c:f>'02_收支口径脉冲'!$C$29:$C$82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分母效应</c:v>
          </c:tx>
          <c:marker>
            <c:symbol val="none"/>
          </c:marker>
          <c:cat>
            <c:strRef>
              <c:f>'02_收支口径脉冲'!$A$29:$A$82</c:f>
              <c:strCache>
                <c:ptCount val="0"/>
              </c:strCache>
            </c:strRef>
          </c:cat>
          <c:val>
            <c:numRef>
              <c:f>'02_收支口径脉冲'!$D$29:$D$82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收支缺口率</c:v>
          </c:tx>
          <c:marker>
            <c:symbol val="none"/>
          </c:marker>
          <c:cat>
            <c:strRef>
              <c:f>'03_财政缺口与新增债务'!$A$29:$A$82</c:f>
              <c:strCache>
                <c:ptCount val="0"/>
              </c:strCache>
            </c:strRef>
          </c:cat>
          <c:val>
            <c:numRef>
              <c:f>'03_财政缺口与新增债务'!$B$29:$B$82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新增债务口径</c:v>
          </c:tx>
          <c:marker>
            <c:symbol val="none"/>
          </c:marker>
          <c:cat>
            <c:strRef>
              <c:f>'03_财政缺口与新增债务'!$A$29:$A$82</c:f>
              <c:strCache>
                <c:ptCount val="0"/>
              </c:strCache>
            </c:strRef>
          </c:cat>
          <c:val>
            <c:numRef>
              <c:f>'03_财政缺口与新增债务'!$C$29:$C$82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一般公共预算收支缺口年内路径（截至6月）</a:t>
            </a:r>
          </a:p>
        </c:rich>
      </c:tx>
    </c:title>
    <c:plotArea>
      <c:lineChart>
        <c:grouping val="standard"/>
        <c:ser>
          <c:idx val="0"/>
          <c:order val="0"/>
          <c:tx>
            <c:v>2022</c:v>
          </c:tx>
          <c:marker>
            <c:symbol val="none"/>
          </c:marker>
          <c:cat>
            <c:strLit>
              <c:ptCount val="5"/>
              <c:pt idx="0">
                <c:v>2月</c:v>
              </c:pt>
              <c:pt idx="1">
                <c:v>3月</c:v>
              </c:pt>
              <c:pt idx="2">
                <c:v>4月</c:v>
              </c:pt>
              <c:pt idx="3">
                <c:v>5月</c:v>
              </c:pt>
              <c:pt idx="4">
                <c:v>6月</c:v>
              </c:pt>
            </c:strLit>
          </c:cat>
          <c:val>
            <c:numLit>
              <c:formatCode>General</c:formatCode>
              <c:ptCount val="5"/>
              <c:pt idx="0">
                <c:v>-7976</c:v>
              </c:pt>
              <c:pt idx="1">
                <c:v>1550</c:v>
              </c:pt>
              <c:pt idx="2">
                <c:v>6640</c:v>
              </c:pt>
              <c:pt idx="3">
                <c:v>12320</c:v>
              </c:pt>
              <c:pt idx="4">
                <c:v>23666</c:v>
              </c:pt>
            </c:numLit>
          </c:val>
        </c:ser>
        <c:ser>
          <c:idx val="1"/>
          <c:order val="1"/>
          <c:tx>
            <c:v>2023</c:v>
          </c:tx>
          <c:marker>
            <c:symbol val="none"/>
          </c:marker>
          <c:cat>
            <c:strLit>
              <c:ptCount val="5"/>
              <c:pt idx="0">
                <c:v>2月</c:v>
              </c:pt>
              <c:pt idx="1">
                <c:v>3月</c:v>
              </c:pt>
              <c:pt idx="2">
                <c:v>4月</c:v>
              </c:pt>
              <c:pt idx="3">
                <c:v>5月</c:v>
              </c:pt>
              <c:pt idx="4">
                <c:v>6月</c:v>
              </c:pt>
            </c:strLit>
          </c:cat>
          <c:val>
            <c:numLit>
              <c:formatCode>General</c:formatCode>
              <c:ptCount val="5"/>
              <c:pt idx="0">
                <c:v>-4744</c:v>
              </c:pt>
              <c:pt idx="1">
                <c:v>5574</c:v>
              </c:pt>
              <c:pt idx="2">
                <c:v>3247</c:v>
              </c:pt>
              <c:pt idx="3">
                <c:v>5129</c:v>
              </c:pt>
              <c:pt idx="4">
                <c:v>14690</c:v>
              </c:pt>
            </c:numLit>
          </c:val>
        </c:ser>
        <c:ser>
          <c:idx val="2"/>
          <c:order val="2"/>
          <c:tx>
            <c:v>2024</c:v>
          </c:tx>
          <c:marker>
            <c:symbol val="none"/>
          </c:marker>
          <c:cat>
            <c:strLit>
              <c:ptCount val="5"/>
              <c:pt idx="0">
                <c:v>2月</c:v>
              </c:pt>
              <c:pt idx="1">
                <c:v>3月</c:v>
              </c:pt>
              <c:pt idx="2">
                <c:v>4月</c:v>
              </c:pt>
              <c:pt idx="3">
                <c:v>5月</c:v>
              </c:pt>
              <c:pt idx="4">
                <c:v>6月</c:v>
              </c:pt>
            </c:strLit>
          </c:cat>
          <c:val>
            <c:numLit>
              <c:formatCode>General</c:formatCode>
              <c:ptCount val="5"/>
              <c:pt idx="0">
                <c:v>-961</c:v>
              </c:pt>
              <c:pt idx="1">
                <c:v>8979</c:v>
              </c:pt>
              <c:pt idx="2">
                <c:v>8557</c:v>
              </c:pt>
              <c:pt idx="3">
                <c:v>11447</c:v>
              </c:pt>
              <c:pt idx="4">
                <c:v>20658</c:v>
              </c:pt>
            </c:numLit>
          </c:val>
        </c:ser>
        <c:ser>
          <c:idx val="3"/>
          <c:order val="3"/>
          <c:tx>
            <c:v>2025</c:v>
          </c:tx>
          <c:marker>
            <c:symbol val="none"/>
          </c:marker>
          <c:cat>
            <c:strLit>
              <c:ptCount val="5"/>
              <c:pt idx="0">
                <c:v>2月</c:v>
              </c:pt>
              <c:pt idx="1">
                <c:v>3月</c:v>
              </c:pt>
              <c:pt idx="2">
                <c:v>4月</c:v>
              </c:pt>
              <c:pt idx="3">
                <c:v>5月</c:v>
              </c:pt>
              <c:pt idx="4">
                <c:v>6月</c:v>
              </c:pt>
            </c:strLit>
          </c:cat>
          <c:val>
            <c:numLit>
              <c:formatCode>General</c:formatCode>
              <c:ptCount val="5"/>
              <c:pt idx="0">
                <c:v>1240</c:v>
              </c:pt>
              <c:pt idx="1">
                <c:v>12626</c:v>
              </c:pt>
              <c:pt idx="2">
                <c:v>12965</c:v>
              </c:pt>
              <c:pt idx="3">
                <c:v>16330</c:v>
              </c:pt>
              <c:pt idx="4">
                <c:v>25705</c:v>
              </c:pt>
            </c:numLit>
          </c:val>
        </c:ser>
        <c:ser>
          <c:idx val="4"/>
          <c:order val="4"/>
          <c:tx>
            <c:v>2026</c:v>
          </c:tx>
          <c:marker>
            <c:symbol val="none"/>
          </c:marker>
          <c:cat>
            <c:strLit>
              <c:ptCount val="5"/>
              <c:pt idx="0">
                <c:v>2月</c:v>
              </c:pt>
              <c:pt idx="1">
                <c:v>3月</c:v>
              </c:pt>
              <c:pt idx="2">
                <c:v>4月</c:v>
              </c:pt>
              <c:pt idx="3">
                <c:v>5月</c:v>
              </c:pt>
              <c:pt idx="4">
                <c:v>6月</c:v>
              </c:pt>
            </c:strLit>
          </c:cat>
          <c:val>
            <c:numLit>
              <c:formatCode>General</c:formatCode>
              <c:ptCount val="5"/>
              <c:pt idx="0">
                <c:v>2552</c:v>
              </c:pt>
              <c:pt idx="1">
                <c:v>13093</c:v>
              </c:pt>
              <c:pt idx="2">
                <c:v>11405</c:v>
              </c:pt>
              <c:pt idx="3">
                <c:v>13412</c:v>
              </c:pt>
              <c:pt idx="4">
                <c:v>22282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一般公共预算收支增速差</a:t>
            </a:r>
          </a:p>
        </c:rich>
      </c:tx>
    </c:title>
    <c:plotArea>
      <c:lineChart>
        <c:grouping val="standard"/>
        <c:ser>
          <c:idx val="0"/>
          <c:order val="0"/>
          <c:tx>
            <c:v>收支增速差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0</c:v>
              </c:pt>
              <c:pt idx="1">
                <c:v>-3.5</c:v>
              </c:pt>
              <c:pt idx="2">
                <c:v>-0.29999999999999893</c:v>
              </c:pt>
              <c:pt idx="3">
                <c:v>10.7</c:v>
              </c:pt>
              <c:pt idx="4">
                <c:v>16</c:v>
              </c:pt>
              <c:pt idx="5">
                <c:v>16.1</c:v>
              </c:pt>
              <c:pt idx="6">
                <c:v>15.6</c:v>
              </c:pt>
              <c:pt idx="7">
                <c:v>14.3</c:v>
              </c:pt>
              <c:pt idx="8">
                <c:v>12.8</c:v>
              </c:pt>
              <c:pt idx="9">
                <c:v>10.9</c:v>
              </c:pt>
              <c:pt idx="10">
                <c:v>9.2</c:v>
              </c:pt>
              <c:pt idx="11">
                <c:v>5.5</c:v>
              </c:pt>
              <c:pt idx="12">
                <c:v>0</c:v>
              </c:pt>
              <c:pt idx="13">
                <c:v>8.2</c:v>
              </c:pt>
              <c:pt idx="14">
                <c:v>6.3</c:v>
              </c:pt>
              <c:pt idx="15">
                <c:v>-5.1000000000000005</c:v>
              </c:pt>
              <c:pt idx="16">
                <c:v>-9.100000000000001</c:v>
              </c:pt>
              <c:pt idx="17">
                <c:v>-9.4</c:v>
              </c:pt>
              <c:pt idx="18">
                <c:v>-8.2</c:v>
              </c:pt>
              <c:pt idx="19">
                <c:v>-6.2</c:v>
              </c:pt>
              <c:pt idx="20">
                <c:v>-5</c:v>
              </c:pt>
              <c:pt idx="21">
                <c:v>-3.5</c:v>
              </c:pt>
              <c:pt idx="22">
                <c:v>-3</c:v>
              </c:pt>
              <c:pt idx="23">
                <c:v>-1</c:v>
              </c:pt>
              <c:pt idx="24">
                <c:v>0</c:v>
              </c:pt>
              <c:pt idx="25">
                <c:v>9</c:v>
              </c:pt>
              <c:pt idx="26">
                <c:v>5.199999999999999</c:v>
              </c:pt>
              <c:pt idx="27">
                <c:v>6.2</c:v>
              </c:pt>
              <c:pt idx="28">
                <c:v>6.199999999999999</c:v>
              </c:pt>
              <c:pt idx="29">
                <c:v>4.8</c:v>
              </c:pt>
              <c:pt idx="30">
                <c:v>5.1</c:v>
              </c:pt>
              <c:pt idx="31">
                <c:v>4.1</c:v>
              </c:pt>
              <c:pt idx="32">
                <c:v>4.2</c:v>
              </c:pt>
              <c:pt idx="33">
                <c:v>4</c:v>
              </c:pt>
              <c:pt idx="34">
                <c:v>3.4</c:v>
              </c:pt>
              <c:pt idx="35">
                <c:v>2.3</c:v>
              </c:pt>
              <c:pt idx="36">
                <c:v>0</c:v>
              </c:pt>
              <c:pt idx="37">
                <c:v>5</c:v>
              </c:pt>
              <c:pt idx="38">
                <c:v>5.300000000000001</c:v>
              </c:pt>
              <c:pt idx="39">
                <c:v>5</c:v>
              </c:pt>
              <c:pt idx="40">
                <c:v>4.5</c:v>
              </c:pt>
              <c:pt idx="41">
                <c:v>3.6999999999999997</c:v>
              </c:pt>
              <c:pt idx="42">
                <c:v>3.3</c:v>
              </c:pt>
              <c:pt idx="43">
                <c:v>2.8000000000000003</c:v>
              </c:pt>
              <c:pt idx="44">
                <c:v>2.6</c:v>
              </c:pt>
              <c:pt idx="45">
                <c:v>1.2</c:v>
              </c:pt>
              <c:pt idx="46">
                <c:v>0.5999999999999999</c:v>
              </c:pt>
              <c:pt idx="47">
                <c:v>2.7</c:v>
              </c:pt>
              <c:pt idx="48">
                <c:v>0</c:v>
              </c:pt>
              <c:pt idx="49">
                <c:v>2.9000000000000004</c:v>
              </c:pt>
              <c:pt idx="50">
                <c:v>0.20000000000000018</c:v>
              </c:pt>
              <c:pt idx="51">
                <c:v>-2.2</c:v>
              </c:pt>
              <c:pt idx="52">
                <c:v>-3.2</c:v>
              </c:pt>
              <c:pt idx="53">
                <c:v>-3.2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政府性基金与土地出让收入</a:t>
            </a:r>
          </a:p>
        </c:rich>
      </c:tx>
    </c:title>
    <c:plotArea>
      <c:lineChart>
        <c:grouping val="standard"/>
        <c:ser>
          <c:idx val="0"/>
          <c:order val="0"/>
          <c:tx>
            <c:v>政府性基金收入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0</c:v>
              </c:pt>
              <c:pt idx="1">
                <c:v>-27.222884386174016</c:v>
              </c:pt>
              <c:pt idx="2">
                <c:v>-25.600644987906474</c:v>
              </c:pt>
              <c:pt idx="3">
                <c:v>-27.647567656629736</c:v>
              </c:pt>
              <c:pt idx="4">
                <c:v>-26.11096148666846</c:v>
              </c:pt>
              <c:pt idx="5">
                <c:v>-28.43031884948053</c:v>
              </c:pt>
              <c:pt idx="6">
                <c:v>-28.920305746588028</c:v>
              </c:pt>
              <c:pt idx="7">
                <c:v>-25.54150447916861</c:v>
              </c:pt>
              <c:pt idx="8">
                <c:v>-24.77957324068307</c:v>
              </c:pt>
              <c:pt idx="9">
                <c:v>-22.670066262470534</c:v>
              </c:pt>
              <c:pt idx="10">
                <c:v>-21.475187302581777</c:v>
              </c:pt>
              <c:pt idx="11">
                <c:v>-20.551089529094913</c:v>
              </c:pt>
              <c:pt idx="12">
                <c:v>0</c:v>
              </c:pt>
              <c:pt idx="13">
                <c:v>-23.954580194344366</c:v>
              </c:pt>
              <c:pt idx="14">
                <c:v>-21.795983239416273</c:v>
              </c:pt>
              <c:pt idx="15">
                <c:v>-16.874466268146882</c:v>
              </c:pt>
              <c:pt idx="16">
                <c:v>-14.994532531437944</c:v>
              </c:pt>
              <c:pt idx="17">
                <c:v>-15.953947368421051</c:v>
              </c:pt>
              <c:pt idx="18">
                <c:v>-14.342199856218551</c:v>
              </c:pt>
              <c:pt idx="19">
                <c:v>-15.02038570249381</c:v>
              </c:pt>
              <c:pt idx="20">
                <c:v>-15.71963919996514</c:v>
              </c:pt>
              <c:pt idx="21">
                <c:v>-16.046850438983252</c:v>
              </c:pt>
              <c:pt idx="22">
                <c:v>-13.758082478682198</c:v>
              </c:pt>
              <c:pt idx="23">
                <c:v>-9.211725882458687</c:v>
              </c:pt>
              <c:pt idx="24">
                <c:v>0</c:v>
              </c:pt>
              <c:pt idx="25">
                <c:v>2.641780330222532</c:v>
              </c:pt>
              <c:pt idx="26">
                <c:v>-3.98152424942263</c:v>
              </c:pt>
              <c:pt idx="27">
                <c:v>-7.650160947880281</c:v>
              </c:pt>
              <c:pt idx="28">
                <c:v>-10.821675510532236</c:v>
              </c:pt>
              <c:pt idx="29">
                <c:v>-15.276950565812985</c:v>
              </c:pt>
              <c:pt idx="30">
                <c:v>-18.537557700377672</c:v>
              </c:pt>
              <c:pt idx="31">
                <c:v>-21.05433566845235</c:v>
              </c:pt>
              <c:pt idx="32">
                <c:v>-20.220768813173752</c:v>
              </c:pt>
              <c:pt idx="33">
                <c:v>-19.02728621988812</c:v>
              </c:pt>
              <c:pt idx="34">
                <c:v>-18.379461876493718</c:v>
              </c:pt>
              <c:pt idx="35">
                <c:v>-12.18442825825613</c:v>
              </c:pt>
              <c:pt idx="36">
                <c:v>0</c:v>
              </c:pt>
              <c:pt idx="37">
                <c:v>0</c:v>
              </c:pt>
              <c:pt idx="38">
                <c:v>-11.035212622666924</c:v>
              </c:pt>
              <c:pt idx="39">
                <c:v>-6.659744882824093</c:v>
              </c:pt>
              <c:pt idx="40">
                <c:v>-6.9419401370356955</c:v>
              </c:pt>
              <c:pt idx="41">
                <c:v>-2.3750941501380907</c:v>
              </c:pt>
              <c:pt idx="42">
                <c:v>-0.7340631036703127</c:v>
              </c:pt>
              <c:pt idx="43">
                <c:v>-1.3869728943738169</c:v>
              </c:pt>
              <c:pt idx="44">
                <c:v>-0.4666083406240862</c:v>
              </c:pt>
              <c:pt idx="45">
                <c:v>-2.7889007952174194</c:v>
              </c:pt>
              <c:pt idx="46">
                <c:v>-4.897515821290266</c:v>
              </c:pt>
              <c:pt idx="47">
                <c:v>-7.063939442744404</c:v>
              </c:pt>
              <c:pt idx="48">
                <c:v>0</c:v>
              </c:pt>
              <c:pt idx="49">
                <c:v>-15.953612286475472</c:v>
              </c:pt>
              <c:pt idx="50">
                <c:v>-16.17821996323132</c:v>
              </c:pt>
              <c:pt idx="51">
                <c:v>-18.894009216589858</c:v>
              </c:pt>
              <c:pt idx="52">
                <c:v>-19.150035522831487</c:v>
              </c:pt>
              <c:pt idx="53">
                <c:v>-21.59242876247299</c:v>
              </c:pt>
            </c:numLit>
          </c:val>
        </c:ser>
        <c:ser>
          <c:idx val="1"/>
          <c:order val="1"/>
          <c:tx>
            <c:v>土地出让收入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0</c:v>
              </c:pt>
              <c:pt idx="1">
                <c:v>-29.49448202207191</c:v>
              </c:pt>
              <c:pt idx="2">
                <c:v>-27.382036800874477</c:v>
              </c:pt>
              <c:pt idx="3">
                <c:v>-29.7946967216948</c:v>
              </c:pt>
              <c:pt idx="4">
                <c:v>-28.74861233395858</c:v>
              </c:pt>
              <c:pt idx="5">
                <c:v>-31.40318271576258</c:v>
              </c:pt>
              <c:pt idx="6">
                <c:v>-31.70478421522931</c:v>
              </c:pt>
              <c:pt idx="7">
                <c:v>-28.45680322649119</c:v>
              </c:pt>
              <c:pt idx="8">
                <c:v>-28.204124249543206</c:v>
              </c:pt>
              <c:pt idx="9">
                <c:v>-25.844267403277698</c:v>
              </c:pt>
              <c:pt idx="10">
                <c:v>-24.326802218114608</c:v>
              </c:pt>
              <c:pt idx="11">
                <c:v>-23.2013417421971</c:v>
              </c:pt>
              <c:pt idx="12">
                <c:v>0</c:v>
              </c:pt>
              <c:pt idx="13">
                <c:v>-28.96995708154506</c:v>
              </c:pt>
              <c:pt idx="14">
                <c:v>-27.011205887272116</c:v>
              </c:pt>
              <c:pt idx="15">
                <c:v>-21.656008526512128</c:v>
              </c:pt>
              <c:pt idx="16">
                <c:v>-19.986031268468274</c:v>
              </c:pt>
              <c:pt idx="17">
                <c:v>-20.891541783083568</c:v>
              </c:pt>
              <c:pt idx="18">
                <c:v>-19.10958661904594</c:v>
              </c:pt>
              <c:pt idx="19">
                <c:v>-19.605981485877045</c:v>
              </c:pt>
              <c:pt idx="20">
                <c:v>-19.819773028280572</c:v>
              </c:pt>
              <c:pt idx="21">
                <c:v>-20.521498171576535</c:v>
              </c:pt>
              <c:pt idx="22">
                <c:v>-17.866494704342053</c:v>
              </c:pt>
              <c:pt idx="23">
                <c:v>-13.249768151494301</c:v>
              </c:pt>
              <c:pt idx="24">
                <c:v>0</c:v>
              </c:pt>
              <c:pt idx="25">
                <c:v>-0.03554291807357224</c:v>
              </c:pt>
              <c:pt idx="26">
                <c:v>-6.656736938588448</c:v>
              </c:pt>
              <c:pt idx="27">
                <c:v>-10.415780971005862</c:v>
              </c:pt>
              <c:pt idx="28">
                <c:v>-13.986436580944073</c:v>
              </c:pt>
              <c:pt idx="29">
                <c:v>-18.322898271525656</c:v>
              </c:pt>
              <c:pt idx="30">
                <c:v>-22.347540983606564</c:v>
              </c:pt>
              <c:pt idx="31">
                <c:v>-25.383820490109244</c:v>
              </c:pt>
              <c:pt idx="32">
                <c:v>-24.576518218623477</c:v>
              </c:pt>
              <c:pt idx="33">
                <c:v>-22.92238225880201</c:v>
              </c:pt>
              <c:pt idx="34">
                <c:v>-22.376341271918342</c:v>
              </c:pt>
              <c:pt idx="35">
                <c:v>-16.030415890751083</c:v>
              </c:pt>
              <c:pt idx="36">
                <c:v>0</c:v>
              </c:pt>
              <c:pt idx="37">
                <c:v>0</c:v>
              </c:pt>
              <c:pt idx="38">
                <c:v>-15.93224499815883</c:v>
              </c:pt>
              <c:pt idx="39">
                <c:v>-11.351556567957477</c:v>
              </c:pt>
              <c:pt idx="40">
                <c:v>-11.935987509758005</c:v>
              </c:pt>
              <c:pt idx="41">
                <c:v>-6.499377579768062</c:v>
              </c:pt>
              <c:pt idx="42">
                <c:v>-4.576929572707311</c:v>
              </c:pt>
              <c:pt idx="43">
                <c:v>-4.723513700662774</c:v>
              </c:pt>
              <c:pt idx="44">
                <c:v>-4.229827800918972</c:v>
              </c:pt>
              <c:pt idx="45">
                <c:v>-7.37458751992881</c:v>
              </c:pt>
              <c:pt idx="46">
                <c:v>-10.74909581315515</c:v>
              </c:pt>
              <c:pt idx="47">
                <c:v>-14.74568266288836</c:v>
              </c:pt>
              <c:pt idx="48">
                <c:v>0</c:v>
              </c:pt>
              <c:pt idx="49">
                <c:v>-25.231871838111296</c:v>
              </c:pt>
              <c:pt idx="50">
                <c:v>-24.426923638487374</c:v>
              </c:pt>
              <c:pt idx="51">
                <c:v>-27.18415417558887</c:v>
              </c:pt>
              <c:pt idx="52">
                <c:v>-28.65880684336495</c:v>
              </c:pt>
              <c:pt idx="53">
                <c:v>-31.48342793076869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财政性存款月度变动（核查图）</a:t>
            </a:r>
          </a:p>
        </c:rich>
      </c:tx>
    </c:title>
    <c:plotArea>
      <c:lineChart>
        <c:grouping val="standard"/>
        <c:ser>
          <c:idx val="0"/>
          <c:order val="0"/>
          <c:tx>
            <c:v>财政性存款月度变动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6059.18</c:v>
              </c:pt>
              <c:pt idx="1">
                <c:v>6001.760000000002</c:v>
              </c:pt>
              <c:pt idx="2">
                <c:v>-8424.849999999999</c:v>
              </c:pt>
              <c:pt idx="3">
                <c:v>410.2099999999991</c:v>
              </c:pt>
              <c:pt idx="4">
                <c:v>5592.1600000000035</c:v>
              </c:pt>
              <c:pt idx="5">
                <c:v>-4367.130000000005</c:v>
              </c:pt>
              <c:pt idx="6">
                <c:v>4863.489999999998</c:v>
              </c:pt>
              <c:pt idx="7">
                <c:v>-2571.519999999997</c:v>
              </c:pt>
              <c:pt idx="8">
                <c:v>-4800.5</c:v>
              </c:pt>
              <c:pt idx="9">
                <c:v>11432.029999999999</c:v>
              </c:pt>
              <c:pt idx="10">
                <c:v>-3680.6900000000023</c:v>
              </c:pt>
              <c:pt idx="11">
                <c:v>-10889.919999999998</c:v>
              </c:pt>
              <c:pt idx="12">
                <c:v>6827.880000000005</c:v>
              </c:pt>
              <c:pt idx="13">
                <c:v>4557.5</c:v>
              </c:pt>
              <c:pt idx="14">
                <c:v>-8411.660000000003</c:v>
              </c:pt>
              <c:pt idx="15">
                <c:v>5028.080000000002</c:v>
              </c:pt>
              <c:pt idx="16">
                <c:v>2369.3499999999985</c:v>
              </c:pt>
              <c:pt idx="17">
                <c:v>-10495.82</c:v>
              </c:pt>
              <c:pt idx="18">
                <c:v>9077.61</c:v>
              </c:pt>
              <c:pt idx="19">
                <c:v>-87.54000000000087</c:v>
              </c:pt>
              <c:pt idx="20">
                <c:v>-2127.730000000003</c:v>
              </c:pt>
              <c:pt idx="21">
                <c:v>13660.529999999999</c:v>
              </c:pt>
              <c:pt idx="22">
                <c:v>-3292.7699999999895</c:v>
              </c:pt>
              <c:pt idx="23">
                <c:v>-9181.220000000008</c:v>
              </c:pt>
              <c:pt idx="24">
                <c:v>8603.68</c:v>
              </c:pt>
              <c:pt idx="25">
                <c:v>-3797.2599999999948</c:v>
              </c:pt>
              <c:pt idx="26">
                <c:v>-7661.360000000001</c:v>
              </c:pt>
              <c:pt idx="27">
                <c:v>980.6100000000006</c:v>
              </c:pt>
              <c:pt idx="28">
                <c:v>7633.199999999997</c:v>
              </c:pt>
              <c:pt idx="29">
                <c:v>-8193.089999999997</c:v>
              </c:pt>
              <c:pt idx="30">
                <c:v>6453.429999999993</c:v>
              </c:pt>
              <c:pt idx="31">
                <c:v>5586.87000000001</c:v>
              </c:pt>
              <c:pt idx="32">
                <c:v>-2358.060000000005</c:v>
              </c:pt>
              <c:pt idx="33">
                <c:v>5964.040000000001</c:v>
              </c:pt>
              <c:pt idx="34">
                <c:v>1407.949999999997</c:v>
              </c:pt>
              <c:pt idx="35">
                <c:v>-16744.979999999996</c:v>
              </c:pt>
              <c:pt idx="36">
                <c:v>3750.779999999999</c:v>
              </c:pt>
              <c:pt idx="37">
                <c:v>12553.209999999992</c:v>
              </c:pt>
              <c:pt idx="38">
                <c:v>-7687.659999999996</c:v>
              </c:pt>
              <c:pt idx="39">
                <c:v>3672.4700000000084</c:v>
              </c:pt>
              <c:pt idx="40">
                <c:v>8841.899999999994</c:v>
              </c:pt>
              <c:pt idx="41">
                <c:v>-8166.259999999995</c:v>
              </c:pt>
              <c:pt idx="42">
                <c:v>7676.259999999995</c:v>
              </c:pt>
              <c:pt idx="43">
                <c:v>1895.5299999999988</c:v>
              </c:pt>
              <c:pt idx="44">
                <c:v>-8441.880000000005</c:v>
              </c:pt>
              <c:pt idx="45">
                <c:v>7222.010000000009</c:v>
              </c:pt>
              <c:pt idx="46">
                <c:v>-466.0200000000041</c:v>
              </c:pt>
              <c:pt idx="47">
                <c:v>-13844.879999999997</c:v>
              </c:pt>
              <c:pt idx="48">
                <c:v>15897.549999999996</c:v>
              </c:pt>
              <c:pt idx="49">
                <c:v>-3509.399999999994</c:v>
              </c:pt>
              <c:pt idx="50">
                <c:v>-7381.740000000005</c:v>
              </c:pt>
              <c:pt idx="51">
                <c:v>7367.050000000003</c:v>
              </c:pt>
              <c:pt idx="52">
                <c:v>7110.849999999991</c:v>
              </c:pt>
              <c:pt idx="53">
                <c:v>-9369.01999999999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地方政府债券发行与净融资（核查图）</a:t>
            </a:r>
          </a:p>
        </c:rich>
      </c:tx>
    </c:title>
    <c:plotArea>
      <c:lineChart>
        <c:grouping val="standard"/>
        <c:ser>
          <c:idx val="0"/>
          <c:order val="0"/>
          <c:tx>
            <c:v>新增专项债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4844</c:v>
              </c:pt>
              <c:pt idx="1">
                <c:v>3931</c:v>
              </c:pt>
              <c:pt idx="2">
                <c:v>4205</c:v>
              </c:pt>
              <c:pt idx="3">
                <c:v>1039</c:v>
              </c:pt>
              <c:pt idx="4">
                <c:v>6320</c:v>
              </c:pt>
              <c:pt idx="5">
                <c:v>13723</c:v>
              </c:pt>
              <c:pt idx="6">
                <c:v>613</c:v>
              </c:pt>
              <c:pt idx="7">
                <c:v>516</c:v>
              </c:pt>
              <c:pt idx="8">
                <c:v>241</c:v>
              </c:pt>
              <c:pt idx="9">
                <c:v>4399</c:v>
              </c:pt>
              <c:pt idx="10">
                <c:v>455</c:v>
              </c:pt>
              <c:pt idx="11">
                <c:v>98</c:v>
              </c:pt>
              <c:pt idx="12">
                <c:v>4912</c:v>
              </c:pt>
              <c:pt idx="13">
                <c:v>3357</c:v>
              </c:pt>
              <c:pt idx="14">
                <c:v>5299</c:v>
              </c:pt>
              <c:pt idx="15">
                <c:v>2648</c:v>
              </c:pt>
              <c:pt idx="16">
                <c:v>2754</c:v>
              </c:pt>
              <c:pt idx="17">
                <c:v>4039</c:v>
              </c:pt>
              <c:pt idx="18">
                <c:v>1962</c:v>
              </c:pt>
              <c:pt idx="19">
                <c:v>6007</c:v>
              </c:pt>
              <c:pt idx="20">
                <c:v>3620</c:v>
              </c:pt>
              <c:pt idx="21">
                <c:v>2184</c:v>
              </c:pt>
              <c:pt idx="22">
                <c:v>1852</c:v>
              </c:pt>
              <c:pt idx="23">
                <c:v>921</c:v>
              </c:pt>
              <c:pt idx="24">
                <c:v>568</c:v>
              </c:pt>
              <c:pt idx="25">
                <c:v>3466</c:v>
              </c:pt>
              <c:pt idx="26">
                <c:v>2307</c:v>
              </c:pt>
              <c:pt idx="27">
                <c:v>883</c:v>
              </c:pt>
              <c:pt idx="28">
                <c:v>4384</c:v>
              </c:pt>
              <c:pt idx="29">
                <c:v>3327</c:v>
              </c:pt>
              <c:pt idx="30">
                <c:v>2814</c:v>
              </c:pt>
              <c:pt idx="31">
                <c:v>8051</c:v>
              </c:pt>
              <c:pt idx="32">
                <c:v>10329</c:v>
              </c:pt>
              <c:pt idx="33">
                <c:v>2992</c:v>
              </c:pt>
              <c:pt idx="34">
                <c:v>856</c:v>
              </c:pt>
              <c:pt idx="35">
                <c:v>211</c:v>
              </c:pt>
              <c:pt idx="36">
                <c:v>2048</c:v>
              </c:pt>
              <c:pt idx="37">
                <c:v>3920</c:v>
              </c:pt>
              <c:pt idx="38">
                <c:v>3635</c:v>
              </c:pt>
              <c:pt idx="39">
                <c:v>2301</c:v>
              </c:pt>
              <c:pt idx="40">
                <c:v>4432</c:v>
              </c:pt>
              <c:pt idx="41">
                <c:v>5271</c:v>
              </c:pt>
              <c:pt idx="42">
                <c:v>6169</c:v>
              </c:pt>
              <c:pt idx="43">
                <c:v>4890</c:v>
              </c:pt>
              <c:pt idx="44">
                <c:v>4191</c:v>
              </c:pt>
              <c:pt idx="45">
                <c:v>2949</c:v>
              </c:pt>
              <c:pt idx="46">
                <c:v>4922</c:v>
              </c:pt>
              <c:pt idx="47">
                <c:v>1349</c:v>
              </c:pt>
              <c:pt idx="48">
                <c:v>3677</c:v>
              </c:pt>
              <c:pt idx="49">
                <c:v>4565</c:v>
              </c:pt>
              <c:pt idx="50">
                <c:v>3357</c:v>
              </c:pt>
              <c:pt idx="51">
                <c:v>1744</c:v>
              </c:pt>
              <c:pt idx="52">
                <c:v>1608</c:v>
              </c:pt>
              <c:pt idx="53">
                <c:v>5716</c:v>
              </c:pt>
            </c:numLit>
          </c:val>
        </c:ser>
        <c:ser>
          <c:idx val="1"/>
          <c:order val="1"/>
          <c:tx>
            <c:v>新增一般债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993</c:v>
              </c:pt>
              <c:pt idx="1">
                <c:v>1008</c:v>
              </c:pt>
              <c:pt idx="2">
                <c:v>720</c:v>
              </c:pt>
              <c:pt idx="3">
                <c:v>169</c:v>
              </c:pt>
              <c:pt idx="4">
                <c:v>1216</c:v>
              </c:pt>
              <c:pt idx="5">
                <c:v>2042</c:v>
              </c:pt>
              <c:pt idx="6">
                <c:v>635</c:v>
              </c:pt>
              <c:pt idx="7">
                <c:v>126</c:v>
              </c:pt>
              <c:pt idx="8">
                <c:v>81</c:v>
              </c:pt>
              <c:pt idx="9">
                <c:v>156</c:v>
              </c:pt>
              <c:pt idx="10">
                <c:v>36</c:v>
              </c:pt>
              <c:pt idx="11">
                <c:v>0</c:v>
              </c:pt>
              <c:pt idx="12">
                <c:v>1346</c:v>
              </c:pt>
              <c:pt idx="13">
                <c:v>1062</c:v>
              </c:pt>
              <c:pt idx="14">
                <c:v>718</c:v>
              </c:pt>
              <c:pt idx="15">
                <c:v>177</c:v>
              </c:pt>
              <c:pt idx="16">
                <c:v>265</c:v>
              </c:pt>
              <c:pt idx="17">
                <c:v>776</c:v>
              </c:pt>
              <c:pt idx="18">
                <c:v>391</c:v>
              </c:pt>
              <c:pt idx="19">
                <c:v>1136</c:v>
              </c:pt>
              <c:pt idx="20">
                <c:v>620</c:v>
              </c:pt>
              <c:pt idx="21">
                <c:v>83</c:v>
              </c:pt>
              <c:pt idx="22">
                <c:v>257</c:v>
              </c:pt>
              <c:pt idx="23">
                <c:v>185</c:v>
              </c:pt>
              <c:pt idx="24">
                <c:v>1186</c:v>
              </c:pt>
              <c:pt idx="25">
                <c:v>539</c:v>
              </c:pt>
              <c:pt idx="26">
                <c:v>357</c:v>
              </c:pt>
              <c:pt idx="27">
                <c:v>402</c:v>
              </c:pt>
              <c:pt idx="28">
                <c:v>435</c:v>
              </c:pt>
              <c:pt idx="29">
                <c:v>405</c:v>
              </c:pt>
              <c:pt idx="30">
                <c:v>386</c:v>
              </c:pt>
              <c:pt idx="31">
                <c:v>1423</c:v>
              </c:pt>
              <c:pt idx="32">
                <c:v>1041</c:v>
              </c:pt>
              <c:pt idx="33">
                <c:v>394</c:v>
              </c:pt>
              <c:pt idx="34">
                <c:v>195</c:v>
              </c:pt>
              <c:pt idx="35">
                <c:v>242</c:v>
              </c:pt>
              <c:pt idx="36">
                <c:v>1005</c:v>
              </c:pt>
              <c:pt idx="37">
                <c:v>1046</c:v>
              </c:pt>
              <c:pt idx="38">
                <c:v>740</c:v>
              </c:pt>
              <c:pt idx="39">
                <c:v>232</c:v>
              </c:pt>
              <c:pt idx="40">
                <c:v>487</c:v>
              </c:pt>
              <c:pt idx="41">
                <c:v>1010</c:v>
              </c:pt>
              <c:pt idx="42">
                <c:v>863</c:v>
              </c:pt>
              <c:pt idx="43">
                <c:v>825</c:v>
              </c:pt>
              <c:pt idx="44">
                <c:v>550</c:v>
              </c:pt>
              <c:pt idx="45">
                <c:v>182</c:v>
              </c:pt>
              <c:pt idx="46">
                <c:v>417</c:v>
              </c:pt>
              <c:pt idx="47">
                <c:v>383</c:v>
              </c:pt>
              <c:pt idx="48">
                <c:v>608</c:v>
              </c:pt>
              <c:pt idx="49">
                <c:v>1496</c:v>
              </c:pt>
              <c:pt idx="50">
                <c:v>496</c:v>
              </c:pt>
              <c:pt idx="51">
                <c:v>542</c:v>
              </c:pt>
              <c:pt idx="52">
                <c:v>254</c:v>
              </c:pt>
              <c:pt idx="53">
                <c:v>412</c:v>
              </c:pt>
            </c:numLit>
          </c:val>
        </c:ser>
        <c:ser>
          <c:idx val="2"/>
          <c:order val="2"/>
          <c:tx>
            <c:v>再融资债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1152</c:v>
              </c:pt>
              <c:pt idx="1">
                <c:v>132</c:v>
              </c:pt>
              <c:pt idx="2">
                <c:v>1261</c:v>
              </c:pt>
              <c:pt idx="3">
                <c:v>1634</c:v>
              </c:pt>
              <c:pt idx="4">
                <c:v>4541</c:v>
              </c:pt>
              <c:pt idx="5">
                <c:v>3572</c:v>
              </c:pt>
              <c:pt idx="6">
                <c:v>2815</c:v>
              </c:pt>
              <c:pt idx="7">
                <c:v>3267</c:v>
              </c:pt>
              <c:pt idx="8">
                <c:v>2689</c:v>
              </c:pt>
              <c:pt idx="9">
                <c:v>2252</c:v>
              </c:pt>
              <c:pt idx="10">
                <c:v>1978</c:v>
              </c:pt>
              <c:pt idx="11">
                <c:v>817</c:v>
              </c:pt>
              <c:pt idx="12">
                <c:v>177</c:v>
              </c:pt>
              <c:pt idx="13">
                <c:v>1342</c:v>
              </c:pt>
              <c:pt idx="14">
                <c:v>2883</c:v>
              </c:pt>
              <c:pt idx="15">
                <c:v>3904</c:v>
              </c:pt>
              <c:pt idx="16">
                <c:v>4535</c:v>
              </c:pt>
              <c:pt idx="17">
                <c:v>3487</c:v>
              </c:pt>
              <c:pt idx="18">
                <c:v>3838</c:v>
              </c:pt>
              <c:pt idx="19">
                <c:v>6017</c:v>
              </c:pt>
              <c:pt idx="20">
                <c:v>3511</c:v>
              </c:pt>
              <c:pt idx="21">
                <c:v>11696</c:v>
              </c:pt>
              <c:pt idx="22">
                <c:v>4563</c:v>
              </c:pt>
              <c:pt idx="23">
                <c:v>850</c:v>
              </c:pt>
              <c:pt idx="24">
                <c:v>2091</c:v>
              </c:pt>
              <c:pt idx="25">
                <c:v>1594</c:v>
              </c:pt>
              <c:pt idx="26">
                <c:v>3631</c:v>
              </c:pt>
              <c:pt idx="27">
                <c:v>2154</c:v>
              </c:pt>
              <c:pt idx="28">
                <c:v>4216</c:v>
              </c:pt>
              <c:pt idx="29">
                <c:v>2983</c:v>
              </c:pt>
              <c:pt idx="30">
                <c:v>3908</c:v>
              </c:pt>
              <c:pt idx="31">
                <c:v>2618</c:v>
              </c:pt>
              <c:pt idx="32">
                <c:v>1523</c:v>
              </c:pt>
              <c:pt idx="33">
                <c:v>3475</c:v>
              </c:pt>
              <c:pt idx="34">
                <c:v>12090</c:v>
              </c:pt>
              <c:pt idx="35">
                <c:v>10460</c:v>
              </c:pt>
              <c:pt idx="36">
                <c:v>2522</c:v>
              </c:pt>
              <c:pt idx="37">
                <c:v>8092</c:v>
              </c:pt>
              <c:pt idx="38">
                <c:v>5413</c:v>
              </c:pt>
              <c:pt idx="39">
                <c:v>4400</c:v>
              </c:pt>
              <c:pt idx="40">
                <c:v>2875</c:v>
              </c:pt>
              <c:pt idx="41">
                <c:v>5473</c:v>
              </c:pt>
              <c:pt idx="42">
                <c:v>5102</c:v>
              </c:pt>
              <c:pt idx="43">
                <c:v>4087</c:v>
              </c:pt>
              <c:pt idx="44">
                <c:v>3878</c:v>
              </c:pt>
              <c:pt idx="45">
                <c:v>2549</c:v>
              </c:pt>
              <c:pt idx="46">
                <c:v>3788</c:v>
              </c:pt>
              <c:pt idx="47">
                <c:v>1105</c:v>
              </c:pt>
              <c:pt idx="48">
                <c:v>4349</c:v>
              </c:pt>
              <c:pt idx="49">
                <c:v>5521</c:v>
              </c:pt>
              <c:pt idx="50">
                <c:v>6990</c:v>
              </c:pt>
              <c:pt idx="51">
                <c:v>5827</c:v>
              </c:pt>
              <c:pt idx="52">
                <c:v>6185</c:v>
              </c:pt>
              <c:pt idx="53">
                <c:v>5359</c:v>
              </c:pt>
            </c:numLit>
          </c:val>
        </c:ser>
        <c:ser>
          <c:idx val="3"/>
          <c:order val="3"/>
          <c:tx>
            <c:v>净融资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6701</c:v>
              </c:pt>
              <c:pt idx="1">
                <c:v>4963</c:v>
              </c:pt>
              <c:pt idx="2">
                <c:v>5032</c:v>
              </c:pt>
              <c:pt idx="3">
                <c:v>1474</c:v>
              </c:pt>
              <c:pt idx="4">
                <c:v>9639</c:v>
              </c:pt>
              <c:pt idx="5">
                <c:v>14994</c:v>
              </c:pt>
              <c:pt idx="6">
                <c:v>-857</c:v>
              </c:pt>
              <c:pt idx="7">
                <c:v>1191</c:v>
              </c:pt>
              <c:pt idx="8">
                <c:v>-714</c:v>
              </c:pt>
              <c:pt idx="9">
                <c:v>4565</c:v>
              </c:pt>
              <c:pt idx="10">
                <c:v>-1324</c:v>
              </c:pt>
              <c:pt idx="11">
                <c:v>254</c:v>
              </c:pt>
              <c:pt idx="12">
                <c:v>6400</c:v>
              </c:pt>
              <c:pt idx="13">
                <c:v>5250</c:v>
              </c:pt>
              <c:pt idx="14">
                <c:v>5822</c:v>
              </c:pt>
              <c:pt idx="15">
                <c:v>2437</c:v>
              </c:pt>
              <c:pt idx="16">
                <c:v>5052</c:v>
              </c:pt>
              <c:pt idx="17">
                <c:v>2385</c:v>
              </c:pt>
              <c:pt idx="18">
                <c:v>2235</c:v>
              </c:pt>
              <c:pt idx="19">
                <c:v>7246</c:v>
              </c:pt>
              <c:pt idx="20">
                <c:v>1517</c:v>
              </c:pt>
              <c:pt idx="21">
                <c:v>12015</c:v>
              </c:pt>
              <c:pt idx="22">
                <c:v>5374</c:v>
              </c:pt>
              <c:pt idx="23">
                <c:v>983</c:v>
              </c:pt>
              <c:pt idx="24">
                <c:v>2587</c:v>
              </c:pt>
              <c:pt idx="25">
                <c:v>4132</c:v>
              </c:pt>
              <c:pt idx="26">
                <c:v>2848</c:v>
              </c:pt>
              <c:pt idx="27">
                <c:v>549</c:v>
              </c:pt>
              <c:pt idx="28">
                <c:v>6349</c:v>
              </c:pt>
              <c:pt idx="29">
                <c:v>2260</c:v>
              </c:pt>
              <c:pt idx="30">
                <c:v>1911</c:v>
              </c:pt>
              <c:pt idx="31">
                <c:v>8288</c:v>
              </c:pt>
              <c:pt idx="32">
                <c:v>11106</c:v>
              </c:pt>
              <c:pt idx="33">
                <c:v>5758</c:v>
              </c:pt>
              <c:pt idx="34">
                <c:v>11813</c:v>
              </c:pt>
              <c:pt idx="35">
                <c:v>10455</c:v>
              </c:pt>
              <c:pt idx="36">
                <c:v>4760</c:v>
              </c:pt>
              <c:pt idx="37">
                <c:v>12728</c:v>
              </c:pt>
              <c:pt idx="38">
                <c:v>8792</c:v>
              </c:pt>
              <c:pt idx="39">
                <c:v>5281</c:v>
              </c:pt>
              <c:pt idx="40">
                <c:v>5543</c:v>
              </c:pt>
              <c:pt idx="41">
                <c:v>7029</c:v>
              </c:pt>
              <c:pt idx="42">
                <c:v>8123</c:v>
              </c:pt>
              <c:pt idx="43">
                <c:v>4827</c:v>
              </c:pt>
              <c:pt idx="44">
                <c:v>4511</c:v>
              </c:pt>
              <c:pt idx="45">
                <c:v>3111</c:v>
              </c:pt>
              <c:pt idx="46">
                <c:v>6491</c:v>
              </c:pt>
              <c:pt idx="47">
                <c:v>1651</c:v>
              </c:pt>
              <c:pt idx="48">
                <c:v>7543</c:v>
              </c:pt>
              <c:pt idx="49">
                <c:v>10162</c:v>
              </c:pt>
              <c:pt idx="50">
                <c:v>6652</c:v>
              </c:pt>
              <c:pt idx="51">
                <c:v>3552</c:v>
              </c:pt>
              <c:pt idx="52">
                <c:v>5314</c:v>
              </c:pt>
              <c:pt idx="53">
                <c:v>6251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地方政府债务余额（核查图）</a:t>
            </a:r>
          </a:p>
        </c:rich>
      </c:tx>
    </c:title>
    <c:plotArea>
      <c:lineChart>
        <c:grouping val="standard"/>
        <c:ser>
          <c:idx val="0"/>
          <c:order val="0"/>
          <c:tx>
            <c:v>债务余额</c:v>
          </c:tx>
          <c:marker>
            <c:symbol val="none"/>
          </c:marker>
          <c:cat>
            <c:strLit>
              <c:ptCount val="54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  <c:pt idx="48">
                <c:v>2026-01</c:v>
              </c:pt>
              <c:pt idx="49">
                <c:v>2026-02</c:v>
              </c:pt>
              <c:pt idx="50">
                <c:v>2026-03</c:v>
              </c:pt>
              <c:pt idx="51">
                <c:v>2026-04</c:v>
              </c:pt>
              <c:pt idx="52">
                <c:v>2026-05</c:v>
              </c:pt>
              <c:pt idx="53">
                <c:v>2026-06</c:v>
              </c:pt>
            </c:strLit>
          </c:cat>
          <c:val>
            <c:numLit>
              <c:formatCode>General</c:formatCode>
              <c:ptCount val="54"/>
              <c:pt idx="0">
                <c:v>311401</c:v>
              </c:pt>
              <c:pt idx="1">
                <c:v>316364</c:v>
              </c:pt>
              <c:pt idx="2">
                <c:v>321396</c:v>
              </c:pt>
              <c:pt idx="3">
                <c:v>322871</c:v>
              </c:pt>
              <c:pt idx="4">
                <c:v>332509</c:v>
              </c:pt>
              <c:pt idx="5">
                <c:v>347503</c:v>
              </c:pt>
              <c:pt idx="6">
                <c:v>346646</c:v>
              </c:pt>
              <c:pt idx="7">
                <c:v>347838</c:v>
              </c:pt>
              <c:pt idx="8">
                <c:v>347124</c:v>
              </c:pt>
              <c:pt idx="9">
                <c:v>351688</c:v>
              </c:pt>
              <c:pt idx="10">
                <c:v>350364</c:v>
              </c:pt>
              <c:pt idx="11">
                <c:v>350618</c:v>
              </c:pt>
              <c:pt idx="12">
                <c:v>357018</c:v>
              </c:pt>
              <c:pt idx="13">
                <c:v>362269</c:v>
              </c:pt>
              <c:pt idx="14">
                <c:v>368091</c:v>
              </c:pt>
              <c:pt idx="15">
                <c:v>370527</c:v>
              </c:pt>
              <c:pt idx="16">
                <c:v>375579</c:v>
              </c:pt>
              <c:pt idx="17">
                <c:v>377999</c:v>
              </c:pt>
              <c:pt idx="18">
                <c:v>380234</c:v>
              </c:pt>
              <c:pt idx="19">
                <c:v>387480</c:v>
              </c:pt>
              <c:pt idx="20">
                <c:v>388996</c:v>
              </c:pt>
              <c:pt idx="21">
                <c:v>401011</c:v>
              </c:pt>
              <c:pt idx="22">
                <c:v>406386</c:v>
              </c:pt>
              <c:pt idx="23">
                <c:v>407373</c:v>
              </c:pt>
              <c:pt idx="24">
                <c:v>409959</c:v>
              </c:pt>
              <c:pt idx="25">
                <c:v>414092</c:v>
              </c:pt>
              <c:pt idx="26">
                <c:v>416940</c:v>
              </c:pt>
              <c:pt idx="27">
                <c:v>417489</c:v>
              </c:pt>
              <c:pt idx="28">
                <c:v>423838</c:v>
              </c:pt>
              <c:pt idx="29">
                <c:v>426098</c:v>
              </c:pt>
              <c:pt idx="30">
                <c:v>428009</c:v>
              </c:pt>
              <c:pt idx="31">
                <c:v>436297</c:v>
              </c:pt>
              <c:pt idx="32">
                <c:v>447403</c:v>
              </c:pt>
              <c:pt idx="33">
                <c:v>453160</c:v>
              </c:pt>
              <c:pt idx="34">
                <c:v>464974</c:v>
              </c:pt>
              <c:pt idx="35">
                <c:v>475371</c:v>
              </c:pt>
              <c:pt idx="36">
                <c:v>480131</c:v>
              </c:pt>
              <c:pt idx="37">
                <c:v>492859</c:v>
              </c:pt>
              <c:pt idx="38">
                <c:v>501650</c:v>
              </c:pt>
              <c:pt idx="39">
                <c:v>506931</c:v>
              </c:pt>
              <c:pt idx="40">
                <c:v>512475</c:v>
              </c:pt>
              <c:pt idx="41">
                <c:v>519503</c:v>
              </c:pt>
              <c:pt idx="42">
                <c:v>527627</c:v>
              </c:pt>
              <c:pt idx="43">
                <c:v>532484</c:v>
              </c:pt>
              <c:pt idx="44">
                <c:v>536995</c:v>
              </c:pt>
              <c:pt idx="45">
                <c:v>540106</c:v>
              </c:pt>
              <c:pt idx="46">
                <c:v>546597</c:v>
              </c:pt>
              <c:pt idx="47">
                <c:v>548231</c:v>
              </c:pt>
              <c:pt idx="48">
                <c:v>555774</c:v>
              </c:pt>
              <c:pt idx="49">
                <c:v>565936</c:v>
              </c:pt>
              <c:pt idx="50">
                <c:v>572587</c:v>
              </c:pt>
              <c:pt idx="51">
                <c:v>576139</c:v>
              </c:pt>
              <c:pt idx="52">
                <c:v>581453</c:v>
              </c:pt>
              <c:pt idx="53">
                <c:v>587706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新增专项债发行进度（截至6月）</a:t>
            </a:r>
          </a:p>
        </c:rich>
      </c:tx>
    </c:title>
    <c:plotArea>
      <c:lineChart>
        <c:grouping val="standard"/>
        <c:ser>
          <c:idx val="0"/>
          <c:order val="0"/>
          <c:tx>
            <c:v>2022</c:v>
          </c:tx>
          <c:marker>
            <c:symbol val="none"/>
          </c:marker>
          <c:cat>
            <c:strLit>
              <c:ptCount val="6"/>
              <c:pt idx="0">
                <c:v>1月</c:v>
              </c:pt>
              <c:pt idx="1">
                <c:v>2月</c:v>
              </c:pt>
              <c:pt idx="2">
                <c:v>3月</c:v>
              </c:pt>
              <c:pt idx="3">
                <c:v>4月</c:v>
              </c:pt>
              <c:pt idx="4">
                <c:v>5月</c:v>
              </c:pt>
              <c:pt idx="5">
                <c:v>6月</c:v>
              </c:pt>
            </c:strLit>
          </c:cat>
          <c:val>
            <c:numLit>
              <c:formatCode>General</c:formatCode>
              <c:ptCount val="6"/>
              <c:pt idx="0">
                <c:v>4844</c:v>
              </c:pt>
              <c:pt idx="1">
                <c:v>8775</c:v>
              </c:pt>
              <c:pt idx="2">
                <c:v>12980</c:v>
              </c:pt>
              <c:pt idx="3">
                <c:v>14019</c:v>
              </c:pt>
              <c:pt idx="4">
                <c:v>20339</c:v>
              </c:pt>
              <c:pt idx="5">
                <c:v>34062</c:v>
              </c:pt>
            </c:numLit>
          </c:val>
        </c:ser>
        <c:ser>
          <c:idx val="1"/>
          <c:order val="1"/>
          <c:tx>
            <c:v>2023</c:v>
          </c:tx>
          <c:marker>
            <c:symbol val="none"/>
          </c:marker>
          <c:cat>
            <c:strLit>
              <c:ptCount val="6"/>
              <c:pt idx="0">
                <c:v>1月</c:v>
              </c:pt>
              <c:pt idx="1">
                <c:v>2月</c:v>
              </c:pt>
              <c:pt idx="2">
                <c:v>3月</c:v>
              </c:pt>
              <c:pt idx="3">
                <c:v>4月</c:v>
              </c:pt>
              <c:pt idx="4">
                <c:v>5月</c:v>
              </c:pt>
              <c:pt idx="5">
                <c:v>6月</c:v>
              </c:pt>
            </c:strLit>
          </c:cat>
          <c:val>
            <c:numLit>
              <c:formatCode>General</c:formatCode>
              <c:ptCount val="6"/>
              <c:pt idx="0">
                <c:v>4912</c:v>
              </c:pt>
              <c:pt idx="1">
                <c:v>8269</c:v>
              </c:pt>
              <c:pt idx="2">
                <c:v>13568</c:v>
              </c:pt>
              <c:pt idx="3">
                <c:v>16216</c:v>
              </c:pt>
              <c:pt idx="4">
                <c:v>18970</c:v>
              </c:pt>
              <c:pt idx="5">
                <c:v>23009</c:v>
              </c:pt>
            </c:numLit>
          </c:val>
        </c:ser>
        <c:ser>
          <c:idx val="2"/>
          <c:order val="2"/>
          <c:tx>
            <c:v>2024</c:v>
          </c:tx>
          <c:marker>
            <c:symbol val="none"/>
          </c:marker>
          <c:cat>
            <c:strLit>
              <c:ptCount val="6"/>
              <c:pt idx="0">
                <c:v>1月</c:v>
              </c:pt>
              <c:pt idx="1">
                <c:v>2月</c:v>
              </c:pt>
              <c:pt idx="2">
                <c:v>3月</c:v>
              </c:pt>
              <c:pt idx="3">
                <c:v>4月</c:v>
              </c:pt>
              <c:pt idx="4">
                <c:v>5月</c:v>
              </c:pt>
              <c:pt idx="5">
                <c:v>6月</c:v>
              </c:pt>
            </c:strLit>
          </c:cat>
          <c:val>
            <c:numLit>
              <c:formatCode>General</c:formatCode>
              <c:ptCount val="6"/>
              <c:pt idx="0">
                <c:v>568</c:v>
              </c:pt>
              <c:pt idx="1">
                <c:v>4034</c:v>
              </c:pt>
              <c:pt idx="2">
                <c:v>6341</c:v>
              </c:pt>
              <c:pt idx="3">
                <c:v>7224</c:v>
              </c:pt>
              <c:pt idx="4">
                <c:v>11608</c:v>
              </c:pt>
              <c:pt idx="5">
                <c:v>14935</c:v>
              </c:pt>
            </c:numLit>
          </c:val>
        </c:ser>
        <c:ser>
          <c:idx val="3"/>
          <c:order val="3"/>
          <c:tx>
            <c:v>2025</c:v>
          </c:tx>
          <c:marker>
            <c:symbol val="none"/>
          </c:marker>
          <c:cat>
            <c:strLit>
              <c:ptCount val="6"/>
              <c:pt idx="0">
                <c:v>1月</c:v>
              </c:pt>
              <c:pt idx="1">
                <c:v>2月</c:v>
              </c:pt>
              <c:pt idx="2">
                <c:v>3月</c:v>
              </c:pt>
              <c:pt idx="3">
                <c:v>4月</c:v>
              </c:pt>
              <c:pt idx="4">
                <c:v>5月</c:v>
              </c:pt>
              <c:pt idx="5">
                <c:v>6月</c:v>
              </c:pt>
            </c:strLit>
          </c:cat>
          <c:val>
            <c:numLit>
              <c:formatCode>General</c:formatCode>
              <c:ptCount val="6"/>
              <c:pt idx="0">
                <c:v>2048</c:v>
              </c:pt>
              <c:pt idx="1">
                <c:v>5968</c:v>
              </c:pt>
              <c:pt idx="2">
                <c:v>9603</c:v>
              </c:pt>
              <c:pt idx="3">
                <c:v>11904</c:v>
              </c:pt>
              <c:pt idx="4">
                <c:v>16336</c:v>
              </c:pt>
              <c:pt idx="5">
                <c:v>21607</c:v>
              </c:pt>
            </c:numLit>
          </c:val>
        </c:ser>
        <c:ser>
          <c:idx val="4"/>
          <c:order val="4"/>
          <c:tx>
            <c:v>2026</c:v>
          </c:tx>
          <c:marker>
            <c:symbol val="none"/>
          </c:marker>
          <c:cat>
            <c:strLit>
              <c:ptCount val="6"/>
              <c:pt idx="0">
                <c:v>1月</c:v>
              </c:pt>
              <c:pt idx="1">
                <c:v>2月</c:v>
              </c:pt>
              <c:pt idx="2">
                <c:v>3月</c:v>
              </c:pt>
              <c:pt idx="3">
                <c:v>4月</c:v>
              </c:pt>
              <c:pt idx="4">
                <c:v>5月</c:v>
              </c:pt>
              <c:pt idx="5">
                <c:v>6月</c:v>
              </c:pt>
            </c:strLit>
          </c:cat>
          <c:val>
            <c:numLit>
              <c:formatCode>General</c:formatCode>
              <c:ptCount val="6"/>
              <c:pt idx="0">
                <c:v>3677</c:v>
              </c:pt>
              <c:pt idx="1">
                <c:v>8242</c:v>
              </c:pt>
              <c:pt idx="2">
                <c:v>11599</c:v>
              </c:pt>
              <c:pt idx="3">
                <c:v>13343</c:v>
              </c:pt>
              <c:pt idx="4">
                <c:v>14951</c:v>
              </c:pt>
              <c:pt idx="5">
                <c:v>20667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493a3d4e346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91122c9b2478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603ca35ff47e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6cf406381467e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a97aa70acd4ace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8</xdr:col>
      <xdr:colOff>0</xdr:colOff>
      <xdr:row>1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92ee1f9f354c4a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a371f3afa448c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15</xdr:col>
      <xdr:colOff>0</xdr:colOff>
      <xdr:row>1</xdr:row>
      <xdr:rowOff>0</xdr:rowOff>
    </xdr:from>
    <xdr:ext cx="68580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b7d6737c4d4d19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3421b9d8844be8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12</xdr:col>
      <xdr:colOff>0</xdr:colOff>
      <xdr:row>1</xdr:row>
      <xdr:rowOff>0</xdr:rowOff>
    </xdr:from>
    <xdr:ext cx="619125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49401cadd946c6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Jie Xu" id="{BCD35C28-EA57-CD5E-2173-53DE3C27FD70}"/>
  <xltc:person displayName="Jie Xu" id="{E4366138-54C3-B4A1-08E5-A93AB2248AB5}"/>
  <xltc:person displayName="Jie Xu" id="{7EF87A73-F356-35BF-16C3-38B9EC5D41B5}"/>
  <xltc:person displayName="Jie Xu" id="{1AD30315-56A3-457E-B570-87331AAC14BE}"/>
  <xltc:person displayName="Jie Xu" id="{72B2FE2A-F517-4192-F8D8-CF2043FE4CAE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41b1abc40be472a" /><Relationship Type="http://schemas.openxmlformats.org/officeDocument/2006/relationships/vmlDrawing" Target="/xl/drawings/vmldrawing.vml" Id="Rf2961a7433ca42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eb0ad5ce718421d" /><Relationship Type="http://schemas.openxmlformats.org/officeDocument/2006/relationships/vmlDrawing" Target="/xl/drawings/vmldrawing2.vml" Id="R5d66b21c5e7a41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ababcf6a12a447db" /><Relationship Type="http://schemas.openxmlformats.org/officeDocument/2006/relationships/vmlDrawing" Target="/xl/drawings/vmldrawing3.vml" Id="R7ec766d2486548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3b9379bf98054881" /><Relationship Type="http://schemas.openxmlformats.org/officeDocument/2006/relationships/vmlDrawing" Target="/xl/drawings/vmldrawing4.vml" Id="Rc11744bab1cd4a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ff468364a82a4203" /><Relationship Type="http://schemas.openxmlformats.org/officeDocument/2006/relationships/vmlDrawing" Target="/xl/drawings/vmldrawing5.vml" Id="Rc032c4bce21f4e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054dacfc6fb49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ad61c84e8f3a4c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b8875070a1754d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59e06b5bb4de48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5.xml" Id="R7355abd0d2664e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6.xml" Id="R3651f07ec9724b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7.xml" Id="Rafc43280a2c248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8.xml" Id="R22f64bf36c80474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9.xml" Id="Rf02d236826234b3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0.xml" Id="Rb19c685a58fb4ce1" /></Relationships>
</file>

<file path=xl/worksheets/sheet1.xml><?xml version="1.0" encoding="utf-8"?>
<x:worksheet xmlns:x="http://schemas.openxmlformats.org/spreadsheetml/2006/main">
  <x:sheetFormatPr baseColWidth="10" defaultColWidth="10.83203125" defaultRowHeight="16"/>
  <x:cols>
    <x:col min="1" max="1" width="10" style="15" customWidth="1"/>
    <x:col min="2" max="3" width="30.83203125" style="35" customWidth="1"/>
    <x:col min="4" max="5" width="33.1640625" style="35" customWidth="1"/>
    <x:col min="6" max="7" width="22" style="35" customWidth="1"/>
    <x:col min="8" max="9" width="28.6640625" style="35" customWidth="1"/>
    <x:col min="10" max="10" width="62.6640625" style="35" customWidth="1"/>
    <x:col min="11" max="11" width="33.1640625" style="35" customWidth="1"/>
    <x:col min="12" max="12" width="39.83203125" style="35" customWidth="1"/>
    <x:col min="13" max="13" width="23.6640625" style="35" customWidth="1"/>
    <x:col min="14" max="14" width="71.1640625" style="35" customWidth="1"/>
    <x:col min="15" max="16384" width="10.83203125" style="15" customWidth="0"/>
  </x:cols>
  <x:sheetData>
    <x:row r="1">
      <x:c r="A1" s="28" t="e">
        <x:f>[1]!edb()</x:f>
        <x:v>#NAME?</x:v>
      </x:c>
      <x:c r="B1" s="29"/>
      <x:c r="C1" s="29"/>
      <x:c r="D1" s="29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>
      <x:c r="A2" s="18" t="s">
        <x:v>0</x:v>
      </x:c>
      <x:c r="B2" s="29" t="s">
        <x:v>1</x:v>
      </x:c>
      <x:c r="C2" s="29" t="s">
        <x:v>2</x:v>
      </x:c>
      <x:c r="D2" s="29" t="s">
        <x:v>3</x:v>
      </x:c>
      <x:c r="E2" s="30" t="s">
        <x:v>4</x:v>
      </x:c>
      <x:c r="F2" s="30" t="s">
        <x:v>5</x:v>
      </x:c>
      <x:c r="G2" s="30" t="s">
        <x:v>6</x:v>
      </x:c>
      <x:c r="H2" s="30" t="s">
        <x:v>7</x:v>
      </x:c>
      <x:c r="I2" s="30" t="s">
        <x:v>8</x:v>
      </x:c>
      <x:c r="J2" s="30" t="s">
        <x:v>9</x:v>
      </x:c>
      <x:c r="K2" s="30" t="s">
        <x:v>10</x:v>
      </x:c>
      <x:c r="L2" s="30" t="s">
        <x:v>11</x:v>
      </x:c>
      <x:c r="M2" s="30" t="s">
        <x:v>12</x:v>
      </x:c>
      <x:c r="N2" s="30" t="s">
        <x:v>13</x:v>
      </x:c>
    </x:row>
    <x:row r="3">
      <x:c r="A3" s="18" t="s">
        <x:v>14</x:v>
      </x:c>
      <x:c r="B3" s="29" t="s">
        <x:v>15</x:v>
      </x:c>
      <x:c r="C3" s="29" t="s">
        <x:v>15</x:v>
      </x:c>
      <x:c r="D3" s="29" t="s">
        <x:v>16</x:v>
      </x:c>
      <x:c r="E3" s="30" t="s">
        <x:v>16</x:v>
      </x:c>
      <x:c r="F3" s="30" t="s">
        <x:v>15</x:v>
      </x:c>
      <x:c r="G3" s="30" t="s">
        <x:v>15</x:v>
      </x:c>
      <x:c r="H3" s="30" t="s">
        <x:v>15</x:v>
      </x:c>
      <x:c r="I3" s="30" t="s">
        <x:v>15</x:v>
      </x:c>
      <x:c r="J3" s="30" t="s">
        <x:v>15</x:v>
      </x:c>
      <x:c r="K3" s="30" t="s">
        <x:v>15</x:v>
      </x:c>
      <x:c r="L3" s="30" t="s">
        <x:v>15</x:v>
      </x:c>
      <x:c r="M3" s="30" t="s">
        <x:v>15</x:v>
      </x:c>
      <x:c r="N3" s="30" t="s">
        <x:v>15</x:v>
      </x:c>
    </x:row>
    <x:row r="4">
      <x:c r="A4" s="17" t="s">
        <x:v>17</x:v>
      </x:c>
      <x:c r="B4" s="31" t="s">
        <x:v>18</x:v>
      </x:c>
      <x:c r="C4" s="31" t="s">
        <x:v>19</x:v>
      </x:c>
      <x:c r="D4" s="31" t="s">
        <x:v>20</x:v>
      </x:c>
      <x:c r="E4" s="30" t="s">
        <x:v>21</x:v>
      </x:c>
      <x:c r="F4" s="30" t="s">
        <x:v>22</x:v>
      </x:c>
      <x:c r="G4" s="30" t="s">
        <x:v>23</x:v>
      </x:c>
      <x:c r="H4" s="30" t="s">
        <x:v>24</x:v>
      </x:c>
      <x:c r="I4" s="30" t="s">
        <x:v>25</x:v>
      </x:c>
      <x:c r="J4" s="30" t="s">
        <x:v>26</x:v>
      </x:c>
      <x:c r="K4" s="30" t="s">
        <x:v>27</x:v>
      </x:c>
      <x:c r="L4" s="30" t="s">
        <x:v>28</x:v>
      </x:c>
      <x:c r="M4" s="30" t="s">
        <x:v>29</x:v>
      </x:c>
      <x:c r="N4" s="30" t="s">
        <x:v>30</x:v>
      </x:c>
    </x:row>
    <x:row r="5">
      <x:c r="A5" s="16">
        <x:v>40209</x:v>
      </x:c>
      <x:c r="B5" s="31">
        <x:v>8658.66</x:v>
      </x:c>
      <x:c r="C5" s="31">
        <x:v>3465.8</x:v>
      </x:c>
      <x:c r="D5" s="31">
        <x:v>41.2</x:v>
      </x:c>
      <x:c r="E5" s="32">
        <x:v>-13.2</x:v>
      </x:c>
      <x:c r="F5" s="32">
        <x:v>7923.91</x:v>
      </x:c>
      <x:c r="G5" s="32">
        <x:v>734.75</x:v>
      </x:c>
      <x:c r="H5" s="32">
        <x:v>0</x:v>
      </x:c>
      <x:c r="I5" s="32">
        <x:v>0</x:v>
      </x:c>
      <x:c r="J5" s="32">
        <x:v>0</x:v>
      </x:c>
      <x:c r="K5" s="32">
        <x:v>0</x:v>
      </x:c>
      <x:c r="L5" s="32">
        <x:v>0</x:v>
      </x:c>
      <x:c r="M5" s="32">
        <x:v>0</x:v>
      </x:c>
      <x:c r="N5" s="32">
        <x:v>26376.74</x:v>
      </x:c>
    </x:row>
    <x:row r="6">
      <x:c r="A6" s="16">
        <x:v>40237</x:v>
      </x:c>
      <x:c r="B6" s="31">
        <x:v>13603.63</x:v>
      </x:c>
      <x:c r="C6" s="31">
        <x:v>8406.01</x:v>
      </x:c>
      <x:c r="D6" s="31">
        <x:v>32.9</x:v>
      </x:c>
      <x:c r="E6" s="32">
        <x:v>7.7</x:v>
      </x:c>
      <x:c r="F6" s="32">
        <x:v>12473.47</x:v>
      </x:c>
      <x:c r="G6" s="32">
        <x:v>1130.1600000000001</x:v>
      </x:c>
      <x:c r="H6" s="32">
        <x:v>0</x:v>
      </x:c>
      <x:c r="I6" s="32">
        <x:v>0</x:v>
      </x:c>
      <x:c r="J6" s="32">
        <x:v>0</x:v>
      </x:c>
      <x:c r="K6" s="32">
        <x:v>0</x:v>
      </x:c>
      <x:c r="L6" s="32">
        <x:v>0</x:v>
      </x:c>
      <x:c r="M6" s="32">
        <x:v>0</x:v>
      </x:c>
      <x:c r="N6" s="32">
        <x:v>25257.21</x:v>
      </x:c>
    </x:row>
    <x:row r="7">
      <x:c r="A7" s="16">
        <x:v>40268</x:v>
      </x:c>
      <x:c r="B7" s="31">
        <x:v>19627.07</x:v>
      </x:c>
      <x:c r="C7" s="31">
        <x:v>14329.96</x:v>
      </x:c>
      <x:c r="D7" s="31">
        <x:v>34</x:v>
      </x:c>
      <x:c r="E7" s="32">
        <x:v>11.9</x:v>
      </x:c>
      <x:c r="F7" s="32">
        <x:v>17702.55</x:v>
      </x:c>
      <x:c r="G7" s="32">
        <x:v>1924.52</x:v>
      </x:c>
      <x:c r="H7" s="32">
        <x:v>0</x:v>
      </x:c>
      <x:c r="I7" s="32">
        <x:v>0</x:v>
      </x:c>
      <x:c r="J7" s="32">
        <x:v>0</x:v>
      </x:c>
      <x:c r="K7" s="32">
        <x:v>0</x:v>
      </x:c>
      <x:c r="L7" s="32">
        <x:v>0</x:v>
      </x:c>
      <x:c r="M7" s="32">
        <x:v>0</x:v>
      </x:c>
      <x:c r="N7" s="32">
        <x:v>24933.22</x:v>
      </x:c>
    </x:row>
    <x:row r="8">
      <x:c r="A8" s="16">
        <x:v>40298</x:v>
      </x:c>
      <x:c r="B8" s="31">
        <x:v>27552.73</x:v>
      </x:c>
      <x:c r="C8" s="31">
        <x:v>19905.509999999998</x:v>
      </x:c>
      <x:c r="D8" s="31">
        <x:v>34.1</x:v>
      </x:c>
      <x:c r="E8" s="32">
        <x:v>11.3</x:v>
      </x:c>
      <x:c r="F8" s="32">
        <x:v>25004.57</x:v>
      </x:c>
      <x:c r="G8" s="32">
        <x:v>2548.16</x:v>
      </x:c>
      <x:c r="H8" s="32">
        <x:v>0</x:v>
      </x:c>
      <x:c r="I8" s="32">
        <x:v>0</x:v>
      </x:c>
      <x:c r="J8" s="32">
        <x:v>0</x:v>
      </x:c>
      <x:c r="K8" s="32">
        <x:v>0</x:v>
      </x:c>
      <x:c r="L8" s="32">
        <x:v>0</x:v>
      </x:c>
      <x:c r="M8" s="32">
        <x:v>0</x:v>
      </x:c>
      <x:c r="N8" s="32">
        <x:v>28374.38</x:v>
      </x:c>
    </x:row>
    <x:row r="9">
      <x:c r="A9" s="16">
        <x:v>40329</x:v>
      </x:c>
      <x:c r="B9" s="31">
        <x:v>35470.39</x:v>
      </x:c>
      <x:c r="C9" s="31">
        <x:v>25692.21</x:v>
      </x:c>
      <x:c r="D9" s="31">
        <x:v>30.85</x:v>
      </x:c>
      <x:c r="E9" s="32">
        <x:v>14.2</x:v>
      </x:c>
      <x:c r="F9" s="32">
        <x:v>32029.93</x:v>
      </x:c>
      <x:c r="G9" s="32">
        <x:v>3440.46</x:v>
      </x:c>
      <x:c r="H9" s="32">
        <x:v>0</x:v>
      </x:c>
      <x:c r="I9" s="32">
        <x:v>0</x:v>
      </x:c>
      <x:c r="J9" s="32">
        <x:v>0</x:v>
      </x:c>
      <x:c r="K9" s="32">
        <x:v>0</x:v>
      </x:c>
      <x:c r="L9" s="32">
        <x:v>0</x:v>
      </x:c>
      <x:c r="M9" s="32">
        <x:v>0</x:v>
      </x:c>
      <x:c r="N9" s="32">
        <x:v>32227.7</x:v>
      </x:c>
    </x:row>
    <x:row r="10">
      <x:c r="A10" s="16">
        <x:v>40359</x:v>
      </x:c>
      <x:c r="B10" s="31">
        <x:v>43349.79</x:v>
      </x:c>
      <x:c r="C10" s="31">
        <x:v>33811.360000000001</x:v>
      </x:c>
      <x:c r="D10" s="31">
        <x:v>27.59</x:v>
      </x:c>
      <x:c r="E10" s="32">
        <x:v>16.98</x:v>
      </x:c>
      <x:c r="F10" s="32">
        <x:v>38611.53</x:v>
      </x:c>
      <x:c r="G10" s="32">
        <x:v>4738.26</x:v>
      </x:c>
      <x:c r="H10" s="32">
        <x:v>0</x:v>
      </x:c>
      <x:c r="I10" s="32">
        <x:v>0</x:v>
      </x:c>
      <x:c r="J10" s="32">
        <x:v>0</x:v>
      </x:c>
      <x:c r="K10" s="32">
        <x:v>0</x:v>
      </x:c>
      <x:c r="L10" s="32">
        <x:v>0</x:v>
      </x:c>
      <x:c r="M10" s="32">
        <x:v>0</x:v>
      </x:c>
      <x:c r="N10" s="32">
        <x:v>32116.36</x:v>
      </x:c>
    </x:row>
    <x:row r="11">
      <x:c r="A11" s="16">
        <x:v>40390</x:v>
      </x:c>
      <x:c r="B11" s="31">
        <x:v>51132.97</x:v>
      </x:c>
      <x:c r="C11" s="31">
        <x:v>39622.230000000003</x:v>
      </x:c>
      <x:c r="D11" s="31">
        <x:v>25.7</x:v>
      </x:c>
      <x:c r="E11" s="32">
        <x:v>16.899999999999999</x:v>
      </x:c>
      <x:c r="F11" s="32">
        <x:v>45534.22</x:v>
      </x:c>
      <x:c r="G11" s="32">
        <x:v>5598.75</x:v>
      </x:c>
      <x:c r="H11" s="32">
        <x:v>0</x:v>
      </x:c>
      <x:c r="I11" s="32">
        <x:v>0</x:v>
      </x:c>
      <x:c r="J11" s="32">
        <x:v>0</x:v>
      </x:c>
      <x:c r="K11" s="32">
        <x:v>0</x:v>
      </x:c>
      <x:c r="L11" s="32">
        <x:v>0</x:v>
      </x:c>
      <x:c r="M11" s="32">
        <x:v>0</x:v>
      </x:c>
      <x:c r="N11" s="32">
        <x:v>35398.42</x:v>
      </x:c>
    </x:row>
    <x:row r="12">
      <x:c r="A12" s="16">
        <x:v>40421</x:v>
      </x:c>
      <x:c r="B12" s="31">
        <x:v>56752.32</x:v>
      </x:c>
      <x:c r="C12" s="31">
        <x:v>46035.92</x:v>
      </x:c>
      <x:c r="D12" s="31">
        <x:v>23.6</x:v>
      </x:c>
      <x:c r="E12" s="32">
        <x:v>19.2</x:v>
      </x:c>
      <x:c r="F12" s="32">
        <x:v>50555.8</x:v>
      </x:c>
      <x:c r="G12" s="32">
        <x:v>6196.52</x:v>
      </x:c>
      <x:c r="H12" s="32">
        <x:v>0</x:v>
      </x:c>
      <x:c r="I12" s="32">
        <x:v>0</x:v>
      </x:c>
      <x:c r="J12" s="32">
        <x:v>0</x:v>
      </x:c>
      <x:c r="K12" s="32">
        <x:v>0</x:v>
      </x:c>
      <x:c r="L12" s="32">
        <x:v>0</x:v>
      </x:c>
      <x:c r="M12" s="32">
        <x:v>0</x:v>
      </x:c>
      <x:c r="N12" s="32">
        <x:v>36399.18</x:v>
      </x:c>
    </x:row>
    <x:row r="13">
      <x:c r="A13" s="16">
        <x:v>40451</x:v>
      </x:c>
      <x:c r="B13" s="31">
        <x:v>63039.51</x:v>
      </x:c>
      <x:c r="C13" s="31">
        <x:v>54504.959999999999</x:v>
      </x:c>
      <x:c r="D13" s="31">
        <x:v>22.4</x:v>
      </x:c>
      <x:c r="E13" s="32">
        <x:v>20.6</x:v>
      </x:c>
      <x:c r="F13" s="32">
        <x:v>55957.37</x:v>
      </x:c>
      <x:c r="G13" s="32">
        <x:v>7082.14</x:v>
      </x:c>
      <x:c r="H13" s="32">
        <x:v>0</x:v>
      </x:c>
      <x:c r="I13" s="32">
        <x:v>0</x:v>
      </x:c>
      <x:c r="J13" s="32">
        <x:v>0</x:v>
      </x:c>
      <x:c r="K13" s="32">
        <x:v>0</x:v>
      </x:c>
      <x:c r="L13" s="32">
        <x:v>0</x:v>
      </x:c>
      <x:c r="M13" s="32">
        <x:v>0</x:v>
      </x:c>
      <x:c r="N13" s="32">
        <x:v>33942.910000000003</x:v>
      </x:c>
    </x:row>
    <x:row r="14">
      <x:c r="A14" s="16">
        <x:v>40482</x:v>
      </x:c>
      <x:c r="B14" s="31">
        <x:v>70899.820000000007</x:v>
      </x:c>
      <x:c r="C14" s="31">
        <x:v>60993.26</x:v>
      </x:c>
      <x:c r="D14" s="31">
        <x:v>21.5</x:v>
      </x:c>
      <x:c r="E14" s="32">
        <x:v>22.3</x:v>
      </x:c>
      <x:c r="F14" s="32">
        <x:v>62895.14</x:v>
      </x:c>
      <x:c r="G14" s="32">
        <x:v>8004.68</x:v>
      </x:c>
      <x:c r="H14" s="32">
        <x:v>0</x:v>
      </x:c>
      <x:c r="I14" s="32">
        <x:v>0</x:v>
      </x:c>
      <x:c r="J14" s="32">
        <x:v>0</x:v>
      </x:c>
      <x:c r="K14" s="32">
        <x:v>0</x:v>
      </x:c>
      <x:c r="L14" s="32">
        <x:v>0</x:v>
      </x:c>
      <x:c r="M14" s="32">
        <x:v>0</x:v>
      </x:c>
      <x:c r="N14" s="32">
        <x:v>36935.040000000001</x:v>
      </x:c>
    </x:row>
    <x:row r="15">
      <x:c r="A15" s="16">
        <x:v>40512</x:v>
      </x:c>
      <x:c r="B15" s="31">
        <x:v>76740.509999999995</x:v>
      </x:c>
      <x:c r="C15" s="31">
        <x:v>71592.899999999994</x:v>
      </x:c>
      <x:c r="D15" s="31">
        <x:v>21.1</x:v>
      </x:c>
      <x:c r="E15" s="32">
        <x:v>27.3</x:v>
      </x:c>
      <x:c r="F15" s="32">
        <x:v>68332.36</x:v>
      </x:c>
      <x:c r="G15" s="32">
        <x:v>8408.15</x:v>
      </x:c>
      <x:c r="H15" s="32">
        <x:v>0</x:v>
      </x:c>
      <x:c r="I15" s="32">
        <x:v>0</x:v>
      </x:c>
      <x:c r="J15" s="32">
        <x:v>0</x:v>
      </x:c>
      <x:c r="K15" s="32">
        <x:v>0</x:v>
      </x:c>
      <x:c r="L15" s="32">
        <x:v>0</x:v>
      </x:c>
      <x:c r="M15" s="32">
        <x:v>0</x:v>
      </x:c>
      <x:c r="N15" s="32">
        <x:v>34815.89</x:v>
      </x:c>
    </x:row>
    <x:row r="16">
      <x:c r="A16" s="16">
        <x:v>40543</x:v>
      </x:c>
      <x:c r="B16" s="31">
        <x:v>83080</x:v>
      </x:c>
      <x:c r="C16" s="31">
        <x:v>89575</x:v>
      </x:c>
      <x:c r="D16" s="31">
        <x:v>21.3</x:v>
      </x:c>
      <x:c r="E16" s="32">
        <x:v>17.399999999999999</x:v>
      </x:c>
      <x:c r="F16" s="32">
        <x:v>73202.3</x:v>
      </x:c>
      <x:c r="G16" s="32">
        <x:v>9878</x:v>
      </x:c>
      <x:c r="H16" s="32">
        <x:v>0</x:v>
      </x:c>
      <x:c r="I16" s="32">
        <x:v>0</x:v>
      </x:c>
      <x:c r="J16" s="32">
        <x:v>0</x:v>
      </x:c>
      <x:c r="K16" s="32">
        <x:v>0</x:v>
      </x:c>
      <x:c r="L16" s="32">
        <x:v>0</x:v>
      </x:c>
      <x:c r="M16" s="32">
        <x:v>0</x:v>
      </x:c>
      <x:c r="N16" s="32">
        <x:v>25454.97</x:v>
      </x:c>
    </x:row>
    <x:row r="17">
      <x:c r="A17" s="16">
        <x:v>40574</x:v>
      </x:c>
      <x:c r="B17" s="31">
        <x:v>11497.38</x:v>
      </x:c>
      <x:c r="C17" s="31">
        <x:v>6408.97</x:v>
      </x:c>
      <x:c r="D17" s="31">
        <x:v>32.799999999999997</x:v>
      </x:c>
      <x:c r="E17" s="32">
        <x:v>84.92</x:v>
      </x:c>
      <x:c r="F17" s="32">
        <x:v>10555.56</x:v>
      </x:c>
      <x:c r="G17" s="32">
        <x:v>942.27</x:v>
      </x:c>
      <x:c r="H17" s="32">
        <x:v>0</x:v>
      </x:c>
      <x:c r="I17" s="32">
        <x:v>0</x:v>
      </x:c>
      <x:c r="J17" s="32">
        <x:v>0</x:v>
      </x:c>
      <x:c r="K17" s="32">
        <x:v>0</x:v>
      </x:c>
      <x:c r="L17" s="32">
        <x:v>0</x:v>
      </x:c>
      <x:c r="M17" s="32">
        <x:v>0</x:v>
      </x:c>
      <x:c r="N17" s="32">
        <x:v>29019.82</x:v>
      </x:c>
    </x:row>
    <x:row r="18">
      <x:c r="A18" s="16">
        <x:v>40602</x:v>
      </x:c>
      <x:c r="B18" s="31">
        <x:v>18494.39</x:v>
      </x:c>
      <x:c r="C18" s="31">
        <x:v>10483.57</x:v>
      </x:c>
      <x:c r="D18" s="31">
        <x:v>36</x:v>
      </x:c>
      <x:c r="E18" s="32">
        <x:v>24.7</x:v>
      </x:c>
      <x:c r="F18" s="32">
        <x:v>16894.84</x:v>
      </x:c>
      <x:c r="G18" s="32">
        <x:v>1599.55</x:v>
      </x:c>
      <x:c r="H18" s="32">
        <x:v>0</x:v>
      </x:c>
      <x:c r="I18" s="32">
        <x:v>0</x:v>
      </x:c>
      <x:c r="J18" s="32">
        <x:v>0</x:v>
      </x:c>
      <x:c r="K18" s="32">
        <x:v>0</x:v>
      </x:c>
      <x:c r="L18" s="32">
        <x:v>0</x:v>
      </x:c>
      <x:c r="M18" s="32">
        <x:v>0</x:v>
      </x:c>
      <x:c r="N18" s="32">
        <x:v>32399.93</x:v>
      </x:c>
    </x:row>
    <x:row r="19">
      <x:c r="A19" s="16">
        <x:v>40633</x:v>
      </x:c>
      <x:c r="B19" s="31">
        <x:v>26125.74</x:v>
      </x:c>
      <x:c r="C19" s="31">
        <x:v>18053.57</x:v>
      </x:c>
      <x:c r="D19" s="31">
        <x:v>33.1</x:v>
      </x:c>
      <x:c r="E19" s="32">
        <x:v>26</x:v>
      </x:c>
      <x:c r="F19" s="32">
        <x:v>23438.85</x:v>
      </x:c>
      <x:c r="G19" s="32">
        <x:v>2686.89</x:v>
      </x:c>
      <x:c r="H19" s="32">
        <x:v>0</x:v>
      </x:c>
      <x:c r="I19" s="32">
        <x:v>0</x:v>
      </x:c>
      <x:c r="J19" s="32">
        <x:v>0</x:v>
      </x:c>
      <x:c r="K19" s="32">
        <x:v>0</x:v>
      </x:c>
      <x:c r="L19" s="32">
        <x:v>0</x:v>
      </x:c>
      <x:c r="M19" s="32">
        <x:v>0</x:v>
      </x:c>
      <x:c r="N19" s="32">
        <x:v>29981.64</x:v>
      </x:c>
    </x:row>
    <x:row r="20">
      <x:c r="A20" s="16">
        <x:v>40663</x:v>
      </x:c>
      <x:c r="B20" s="31">
        <x:v>36207.800000000003</x:v>
      </x:c>
      <x:c r="C20" s="31">
        <x:v>25358.02</x:v>
      </x:c>
      <x:c r="D20" s="31">
        <x:v>31.4</x:v>
      </x:c>
      <x:c r="E20" s="32">
        <x:v>27.4</x:v>
      </x:c>
      <x:c r="F20" s="32">
        <x:v>32631.52</x:v>
      </x:c>
      <x:c r="G20" s="32">
        <x:v>3576.28</x:v>
      </x:c>
      <x:c r="H20" s="32">
        <x:v>0</x:v>
      </x:c>
      <x:c r="I20" s="32">
        <x:v>0</x:v>
      </x:c>
      <x:c r="J20" s="32">
        <x:v>0</x:v>
      </x:c>
      <x:c r="K20" s="32">
        <x:v>0</x:v>
      </x:c>
      <x:c r="L20" s="32">
        <x:v>0</x:v>
      </x:c>
      <x:c r="M20" s="32">
        <x:v>0</x:v>
      </x:c>
      <x:c r="N20" s="32">
        <x:v>34082.28</x:v>
      </x:c>
    </x:row>
    <x:row r="21">
      <x:c r="A21" s="16">
        <x:v>40694</x:v>
      </x:c>
      <x:c r="B21" s="31">
        <x:v>46820.06</x:v>
      </x:c>
      <x:c r="C21" s="31">
        <x:v>33626.019999999997</x:v>
      </x:c>
      <x:c r="D21" s="31">
        <x:v>32</x:v>
      </x:c>
      <x:c r="E21" s="32">
        <x:v>30.9</x:v>
      </x:c>
      <x:c r="F21" s="32">
        <x:v>41896.230000000003</x:v>
      </x:c>
      <x:c r="G21" s="32">
        <x:v>4923.83</x:v>
      </x:c>
      <x:c r="H21" s="32">
        <x:v>0</x:v>
      </x:c>
      <x:c r="I21" s="32">
        <x:v>0</x:v>
      </x:c>
      <x:c r="J21" s="32">
        <x:v>0</x:v>
      </x:c>
      <x:c r="K21" s="32">
        <x:v>0</x:v>
      </x:c>
      <x:c r="L21" s="32">
        <x:v>0</x:v>
      </x:c>
      <x:c r="M21" s="32">
        <x:v>0</x:v>
      </x:c>
      <x:c r="N21" s="32">
        <x:v>37613.660000000003</x:v>
      </x:c>
    </x:row>
    <x:row r="22">
      <x:c r="A22" s="16">
        <x:v>40724</x:v>
      </x:c>
      <x:c r="B22" s="31">
        <x:v>56875.82</x:v>
      </x:c>
      <x:c r="C22" s="31">
        <x:v>44435.14</x:v>
      </x:c>
      <x:c r="D22" s="31">
        <x:v>31.2</x:v>
      </x:c>
      <x:c r="E22" s="32">
        <x:v>31.4</x:v>
      </x:c>
      <x:c r="F22" s="32">
        <x:v>50028.43</x:v>
      </x:c>
      <x:c r="G22" s="32">
        <x:v>6847.39</x:v>
      </x:c>
      <x:c r="H22" s="32">
        <x:v>0</x:v>
      </x:c>
      <x:c r="I22" s="32">
        <x:v>0</x:v>
      </x:c>
      <x:c r="J22" s="32">
        <x:v>0</x:v>
      </x:c>
      <x:c r="K22" s="32">
        <x:v>0</x:v>
      </x:c>
      <x:c r="L22" s="32">
        <x:v>0</x:v>
      </x:c>
      <x:c r="M22" s="32">
        <x:v>0</x:v>
      </x:c>
      <x:c r="N22" s="32">
        <x:v>36271.440000000002</x:v>
      </x:c>
    </x:row>
    <x:row r="23">
      <x:c r="A23" s="16">
        <x:v>40755</x:v>
      </x:c>
      <x:c r="B23" s="31">
        <x:v>66739.92</x:v>
      </x:c>
      <x:c r="C23" s="31">
        <x:v>51385.06</x:v>
      </x:c>
      <x:c r="D23" s="31">
        <x:v>30.5</x:v>
      </x:c>
      <x:c r="E23" s="32">
        <x:v>29.7</x:v>
      </x:c>
      <x:c r="F23" s="32">
        <x:v>58708.04</x:v>
      </x:c>
      <x:c r="G23" s="32">
        <x:v>8031.88</x:v>
      </x:c>
      <x:c r="H23" s="32">
        <x:v>0</x:v>
      </x:c>
      <x:c r="I23" s="32">
        <x:v>0</x:v>
      </x:c>
      <x:c r="J23" s="32">
        <x:v>0</x:v>
      </x:c>
      <x:c r="K23" s="32">
        <x:v>0</x:v>
      </x:c>
      <x:c r="L23" s="32">
        <x:v>0</x:v>
      </x:c>
      <x:c r="M23" s="32">
        <x:v>0</x:v>
      </x:c>
      <x:c r="N23" s="32">
        <x:v>40863.160000000003</x:v>
      </x:c>
    </x:row>
    <x:row r="24">
      <x:c r="A24" s="16">
        <x:v>40786</x:v>
      </x:c>
      <x:c r="B24" s="31">
        <x:v>74286.289999999994</x:v>
      </x:c>
      <x:c r="C24" s="31">
        <x:v>59462.02</x:v>
      </x:c>
      <x:c r="D24" s="31">
        <x:v>30.9</x:v>
      </x:c>
      <x:c r="E24" s="32">
        <x:v>29.16</x:v>
      </x:c>
      <x:c r="F24" s="32">
        <x:v>64880.09</x:v>
      </x:c>
      <x:c r="G24" s="32">
        <x:v>9406.2000000000007</x:v>
      </x:c>
      <x:c r="H24" s="32">
        <x:v>0</x:v>
      </x:c>
      <x:c r="I24" s="32">
        <x:v>0</x:v>
      </x:c>
      <x:c r="J24" s="32">
        <x:v>0</x:v>
      </x:c>
      <x:c r="K24" s="32">
        <x:v>0</x:v>
      </x:c>
      <x:c r="L24" s="32">
        <x:v>0</x:v>
      </x:c>
      <x:c r="M24" s="32">
        <x:v>0</x:v>
      </x:c>
      <x:c r="N24" s="32">
        <x:v>41878.269999999997</x:v>
      </x:c>
    </x:row>
    <x:row r="25">
      <x:c r="A25" s="16">
        <x:v>40816</x:v>
      </x:c>
      <x:c r="B25" s="31">
        <x:v>81663.34</x:v>
      </x:c>
      <x:c r="C25" s="31">
        <x:v>69480.570000000007</x:v>
      </x:c>
      <x:c r="D25" s="31">
        <x:v>29.54</x:v>
      </x:c>
      <x:c r="E25" s="32">
        <x:v>27.48</x:v>
      </x:c>
      <x:c r="F25" s="32">
        <x:v>71292.179999999993</x:v>
      </x:c>
      <x:c r="G25" s="32">
        <x:v>10371.16</x:v>
      </x:c>
      <x:c r="H25" s="32">
        <x:v>0</x:v>
      </x:c>
      <x:c r="I25" s="32">
        <x:v>0</x:v>
      </x:c>
      <x:c r="J25" s="32">
        <x:v>0</x:v>
      </x:c>
      <x:c r="K25" s="32">
        <x:v>0</x:v>
      </x:c>
      <x:c r="L25" s="32">
        <x:v>0</x:v>
      </x:c>
      <x:c r="M25" s="32">
        <x:v>0</x:v>
      </x:c>
      <x:c r="N25" s="32">
        <x:v>38160.06</x:v>
      </x:c>
    </x:row>
    <x:row r="26">
      <x:c r="A26" s="16">
        <x:v>40847</x:v>
      </x:c>
      <x:c r="B26" s="31">
        <x:v>90851.68</x:v>
      </x:c>
      <x:c r="C26" s="31">
        <x:v>77559.600000000006</x:v>
      </x:c>
      <x:c r="D26" s="31">
        <x:v>28.14</x:v>
      </x:c>
      <x:c r="E26" s="32">
        <x:v>27.16</x:v>
      </x:c>
      <x:c r="F26" s="32">
        <x:v>79634.28</x:v>
      </x:c>
      <x:c r="G26" s="32">
        <x:v>11217.4</x:v>
      </x:c>
      <x:c r="H26" s="32">
        <x:v>0</x:v>
      </x:c>
      <x:c r="I26" s="32">
        <x:v>0</x:v>
      </x:c>
      <x:c r="J26" s="32">
        <x:v>0</x:v>
      </x:c>
      <x:c r="K26" s="32">
        <x:v>0</x:v>
      </x:c>
      <x:c r="L26" s="32">
        <x:v>0</x:v>
      </x:c>
      <x:c r="M26" s="32">
        <x:v>0</x:v>
      </x:c>
      <x:c r="N26" s="32">
        <x:v>42110.89</x:v>
      </x:c>
    </x:row>
    <x:row r="27">
      <x:c r="A27" s="16">
        <x:v>40877</x:v>
      </x:c>
      <x:c r="B27" s="31">
        <x:v>97309</x:v>
      </x:c>
      <x:c r="C27" s="31">
        <x:v>88955.78</x:v>
      </x:c>
      <x:c r="D27" s="31">
        <x:v>26.8</x:v>
      </x:c>
      <x:c r="E27" s="32">
        <x:v>24.25</x:v>
      </x:c>
      <x:c r="F27" s="32">
        <x:v>85216.4</x:v>
      </x:c>
      <x:c r="G27" s="32">
        <x:v>12092.6</x:v>
      </x:c>
      <x:c r="H27" s="32">
        <x:v>0</x:v>
      </x:c>
      <x:c r="I27" s="32">
        <x:v>0</x:v>
      </x:c>
      <x:c r="J27" s="32">
        <x:v>0</x:v>
      </x:c>
      <x:c r="K27" s="32">
        <x:v>0</x:v>
      </x:c>
      <x:c r="L27" s="32">
        <x:v>0</x:v>
      </x:c>
      <x:c r="M27" s="32">
        <x:v>0</x:v>
      </x:c>
      <x:c r="N27" s="32">
        <x:v>38348.239999999998</x:v>
      </x:c>
    </x:row>
    <x:row r="28">
      <x:c r="A28" s="16">
        <x:v>40908</x:v>
      </x:c>
      <x:c r="B28" s="31">
        <x:v>103740</x:v>
      </x:c>
      <x:c r="C28" s="31">
        <x:v>108930</x:v>
      </x:c>
      <x:c r="D28" s="31">
        <x:v>24.8</x:v>
      </x:c>
      <x:c r="E28" s="32">
        <x:v>21.2</x:v>
      </x:c>
      <x:c r="F28" s="32">
        <x:v>89720.31</x:v>
      </x:c>
      <x:c r="G28" s="32">
        <x:v>14020</x:v>
      </x:c>
      <x:c r="H28" s="32">
        <x:v>0</x:v>
      </x:c>
      <x:c r="I28" s="32">
        <x:v>0</x:v>
      </x:c>
      <x:c r="J28" s="32">
        <x:v>0</x:v>
      </x:c>
      <x:c r="K28" s="32">
        <x:v>0</x:v>
      </x:c>
      <x:c r="L28" s="32">
        <x:v>0</x:v>
      </x:c>
      <x:c r="M28" s="32">
        <x:v>0</x:v>
      </x:c>
      <x:c r="N28" s="32">
        <x:v>26223.07</x:v>
      </x:c>
    </x:row>
    <x:row r="29">
      <x:c r="A29" s="16">
        <x:v>40939</x:v>
      </x:c>
      <x:c r="B29" s="31">
        <x:v>12912.58</x:v>
      </x:c>
      <x:c r="C29" s="31">
        <x:v>7026.8</x:v>
      </x:c>
      <x:c r="D29" s="31">
        <x:v>12.31</x:v>
      </x:c>
      <x:c r="E29" s="32">
        <x:v>9.64</x:v>
      </x:c>
      <x:c r="F29" s="32">
        <x:v>11501.34</x:v>
      </x:c>
      <x:c r="G29" s="32">
        <x:v>1411.24</x:v>
      </x:c>
      <x:c r="H29" s="32">
        <x:v>0</x:v>
      </x:c>
      <x:c r="I29" s="32">
        <x:v>0</x:v>
      </x:c>
      <x:c r="J29" s="32">
        <x:v>0</x:v>
      </x:c>
      <x:c r="K29" s="32">
        <x:v>0</x:v>
      </x:c>
      <x:c r="L29" s="32">
        <x:v>0</x:v>
      </x:c>
      <x:c r="M29" s="32">
        <x:v>0</x:v>
      </x:c>
      <x:c r="N29" s="32">
        <x:v>29726.23</x:v>
      </x:c>
    </x:row>
    <x:row r="30">
      <x:c r="A30" s="16">
        <x:v>40968</x:v>
      </x:c>
      <x:c r="B30" s="31">
        <x:v>20918.28</x:v>
      </x:c>
      <x:c r="C30" s="31">
        <x:v>13924.14</x:v>
      </x:c>
      <x:c r="D30" s="31">
        <x:v>13.11</x:v>
      </x:c>
      <x:c r="E30" s="32">
        <x:v>32.82</x:v>
      </x:c>
      <x:c r="F30" s="32">
        <x:v>18501.34</x:v>
      </x:c>
      <x:c r="G30" s="32">
        <x:v>2416.94</x:v>
      </x:c>
      <x:c r="H30" s="32">
        <x:v>0</x:v>
      </x:c>
      <x:c r="I30" s="32">
        <x:v>0</x:v>
      </x:c>
      <x:c r="J30" s="32">
        <x:v>0</x:v>
      </x:c>
      <x:c r="K30" s="32">
        <x:v>0</x:v>
      </x:c>
      <x:c r="L30" s="32">
        <x:v>0</x:v>
      </x:c>
      <x:c r="M30" s="32">
        <x:v>0</x:v>
      </x:c>
      <x:c r="N30" s="32">
        <x:v>30944.43</x:v>
      </x:c>
    </x:row>
    <x:row r="31">
      <x:c r="A31" s="16">
        <x:v>40999</x:v>
      </x:c>
      <x:c r="B31" s="31">
        <x:v>29976.25</x:v>
      </x:c>
      <x:c r="C31" s="31">
        <x:v>24118.05</x:v>
      </x:c>
      <x:c r="D31" s="31">
        <x:v>14.74</x:v>
      </x:c>
      <x:c r="E31" s="32">
        <x:v>33.590000000000003</x:v>
      </x:c>
      <x:c r="F31" s="32">
        <x:v>25857.81</x:v>
      </x:c>
      <x:c r="G31" s="32">
        <x:v>4118.4399999999996</x:v>
      </x:c>
      <x:c r="H31" s="32">
        <x:v>0</x:v>
      </x:c>
      <x:c r="I31" s="32">
        <x:v>0</x:v>
      </x:c>
      <x:c r="J31" s="32">
        <x:v>0</x:v>
      </x:c>
      <x:c r="K31" s="32">
        <x:v>0</x:v>
      </x:c>
      <x:c r="L31" s="32">
        <x:v>0</x:v>
      </x:c>
      <x:c r="M31" s="32">
        <x:v>0</x:v>
      </x:c>
      <x:c r="N31" s="32">
        <x:v>26886.59</x:v>
      </x:c>
    </x:row>
    <x:row r="32">
      <x:c r="A32" s="16">
        <x:v>41029</x:v>
      </x:c>
      <x:c r="B32" s="31">
        <x:v>40750.25</x:v>
      </x:c>
      <x:c r="C32" s="31">
        <x:v>32003.83</x:v>
      </x:c>
      <x:c r="D32" s="31">
        <x:v>12.55</x:v>
      </x:c>
      <x:c r="E32" s="32">
        <x:v>26.21</x:v>
      </x:c>
      <x:c r="F32" s="32">
        <x:v>35285.550000000003</x:v>
      </x:c>
      <x:c r="G32" s="32">
        <x:v>5464.7</x:v>
      </x:c>
      <x:c r="H32" s="32">
        <x:v>0</x:v>
      </x:c>
      <x:c r="I32" s="32">
        <x:v>0</x:v>
      </x:c>
      <x:c r="J32" s="32">
        <x:v>0</x:v>
      </x:c>
      <x:c r="K32" s="32">
        <x:v>0</x:v>
      </x:c>
      <x:c r="L32" s="32">
        <x:v>0</x:v>
      </x:c>
      <x:c r="M32" s="32">
        <x:v>0</x:v>
      </x:c>
      <x:c r="N32" s="32">
        <x:v>31230.04</x:v>
      </x:c>
    </x:row>
    <x:row r="33">
      <x:c r="A33" s="16">
        <x:v>41060</x:v>
      </x:c>
      <x:c r="B33" s="31">
        <x:v>52755.02</x:v>
      </x:c>
      <x:c r="C33" s="31">
        <x:v>41168.800000000003</x:v>
      </x:c>
      <x:c r="D33" s="31">
        <x:v>12.68</x:v>
      </x:c>
      <x:c r="E33" s="32">
        <x:v>22.43</x:v>
      </x:c>
      <x:c r="F33" s="32">
        <x:v>45821.06</x:v>
      </x:c>
      <x:c r="G33" s="32">
        <x:v>6933.96</x:v>
      </x:c>
      <x:c r="H33" s="32">
        <x:v>0</x:v>
      </x:c>
      <x:c r="I33" s="32">
        <x:v>0</x:v>
      </x:c>
      <x:c r="J33" s="32">
        <x:v>0</x:v>
      </x:c>
      <x:c r="K33" s="32">
        <x:v>0</x:v>
      </x:c>
      <x:c r="L33" s="32">
        <x:v>0</x:v>
      </x:c>
      <x:c r="M33" s="32">
        <x:v>0</x:v>
      </x:c>
      <x:c r="N33" s="32">
        <x:v>33881.71</x:v>
      </x:c>
    </x:row>
    <x:row r="34">
      <x:c r="A34" s="16">
        <x:v>41090</x:v>
      </x:c>
      <x:c r="B34" s="31">
        <x:v>63795.3</x:v>
      </x:c>
      <x:c r="C34" s="31">
        <x:v>53893</x:v>
      </x:c>
      <x:c r="D34" s="31">
        <x:v>12.2</x:v>
      </x:c>
      <x:c r="E34" s="32">
        <x:v>21.3</x:v>
      </x:c>
      <x:c r="F34" s="32">
        <x:v>54931.63</x:v>
      </x:c>
      <x:c r="G34" s="32">
        <x:v>8863</x:v>
      </x:c>
      <x:c r="H34" s="32">
        <x:v>15191</x:v>
      </x:c>
      <x:c r="I34" s="32">
        <x:v>13587</x:v>
      </x:c>
      <x:c r="J34" s="32">
        <x:v>11430</x:v>
      </x:c>
      <x:c r="K34" s="32">
        <x:v>0</x:v>
      </x:c>
      <x:c r="L34" s="32">
        <x:v>0</x:v>
      </x:c>
      <x:c r="M34" s="32">
        <x:v>0</x:v>
      </x:c>
      <x:c r="N34" s="32">
        <x:v>31522.05</x:v>
      </x:c>
    </x:row>
    <x:row r="35">
      <x:c r="A35" s="16">
        <x:v>41121</x:v>
      </x:c>
      <x:c r="B35" s="31">
        <x:v>74467</x:v>
      </x:c>
      <x:c r="C35" s="31">
        <x:v>63420.67</x:v>
      </x:c>
      <x:c r="D35" s="31">
        <x:v>11.6</x:v>
      </x:c>
      <x:c r="E35" s="32">
        <x:v>23.4</x:v>
      </x:c>
      <x:c r="F35" s="32">
        <x:v>64008.19</x:v>
      </x:c>
      <x:c r="G35" s="32">
        <x:v>10458.81</x:v>
      </x:c>
      <x:c r="H35" s="32">
        <x:v>17967</x:v>
      </x:c>
      <x:c r="I35" s="32">
        <x:v>15651</x:v>
      </x:c>
      <x:c r="J35" s="32">
        <x:v>13490</x:v>
      </x:c>
      <x:c r="K35" s="32">
        <x:v>0</x:v>
      </x:c>
      <x:c r="L35" s="32">
        <x:v>0</x:v>
      </x:c>
      <x:c r="M35" s="32">
        <x:v>0</x:v>
      </x:c>
      <x:c r="N35" s="32">
        <x:v>35796.03</x:v>
      </x:c>
    </x:row>
    <x:row r="36">
      <x:c r="A36" s="16">
        <x:v>41152</x:v>
      </x:c>
      <x:c r="B36" s="31">
        <x:v>82330</x:v>
      </x:c>
      <x:c r="C36" s="31">
        <x:v>72440</x:v>
      </x:c>
      <x:c r="D36" s="31">
        <x:v>10.8</x:v>
      </x:c>
      <x:c r="E36" s="32">
        <x:v>21.8</x:v>
      </x:c>
      <x:c r="F36" s="32">
        <x:v>70626.399999999994</x:v>
      </x:c>
      <x:c r="G36" s="32">
        <x:v>11703.7</x:v>
      </x:c>
      <x:c r="H36" s="32">
        <x:v>20894</x:v>
      </x:c>
      <x:c r="I36" s="32">
        <x:v>18114</x:v>
      </x:c>
      <x:c r="J36" s="32">
        <x:v>15579</x:v>
      </x:c>
      <x:c r="K36" s="32">
        <x:v>0</x:v>
      </x:c>
      <x:c r="L36" s="32">
        <x:v>0</x:v>
      </x:c>
      <x:c r="M36" s="32">
        <x:v>0</x:v>
      </x:c>
      <x:c r="N36" s="32">
        <x:v>36201.769999999997</x:v>
      </x:c>
    </x:row>
    <x:row r="37">
      <x:c r="A37" s="16">
        <x:v>41182</x:v>
      </x:c>
      <x:c r="B37" s="31">
        <x:v>90588.4</x:v>
      </x:c>
      <x:c r="C37" s="31">
        <x:v>84119.3</x:v>
      </x:c>
      <x:c r="D37" s="31">
        <x:v>10.9</x:v>
      </x:c>
      <x:c r="E37" s="32">
        <x:v>21.1</x:v>
      </x:c>
      <x:c r="F37" s="32">
        <x:v>77410.100000000006</x:v>
      </x:c>
      <x:c r="G37" s="32">
        <x:v>13178.3</x:v>
      </x:c>
      <x:c r="H37" s="32">
        <x:v>23894</x:v>
      </x:c>
      <x:c r="I37" s="32">
        <x:v>21189</x:v>
      </x:c>
      <x:c r="J37" s="32">
        <x:v>17936</x:v>
      </x:c>
      <x:c r="K37" s="32">
        <x:v>0</x:v>
      </x:c>
      <x:c r="L37" s="32">
        <x:v>0</x:v>
      </x:c>
      <x:c r="M37" s="32">
        <x:v>0</x:v>
      </x:c>
      <x:c r="N37" s="32">
        <x:v>32503.79</x:v>
      </x:c>
    </x:row>
    <x:row r="38">
      <x:c r="A38" s="16">
        <x:v>41213</x:v>
      </x:c>
      <x:c r="B38" s="31">
        <x:v>101032</x:v>
      </x:c>
      <x:c r="C38" s="31">
        <x:v>92735.9</x:v>
      </x:c>
      <x:c r="D38" s="31">
        <x:v>11.2</x:v>
      </x:c>
      <x:c r="E38" s="32">
        <x:v>19.600000000000001</x:v>
      </x:c>
      <x:c r="F38" s="32">
        <x:v>86791.6</x:v>
      </x:c>
      <x:c r="G38" s="32">
        <x:v>14240.4</x:v>
      </x:c>
      <x:c r="H38" s="32">
        <x:v>26824</x:v>
      </x:c>
      <x:c r="I38" s="32">
        <x:v>23331</x:v>
      </x:c>
      <x:c r="J38" s="32">
        <x:v>20093</x:v>
      </x:c>
      <x:c r="K38" s="32">
        <x:v>0</x:v>
      </x:c>
      <x:c r="L38" s="32">
        <x:v>0</x:v>
      </x:c>
      <x:c r="M38" s="32">
        <x:v>0</x:v>
      </x:c>
      <x:c r="N38" s="32">
        <x:v>37309.72</x:v>
      </x:c>
    </x:row>
    <x:row r="39">
      <x:c r="A39" s="16">
        <x:v>41243</x:v>
      </x:c>
      <x:c r="B39" s="31">
        <x:v>108903.3</x:v>
      </x:c>
      <x:c r="C39" s="31">
        <x:v>104895.62</x:v>
      </x:c>
      <x:c r="D39" s="31">
        <x:v>11.9</x:v>
      </x:c>
      <x:c r="E39" s="32">
        <x:v>17.899999999999999</x:v>
      </x:c>
      <x:c r="F39" s="32">
        <x:v>93551.69</x:v>
      </x:c>
      <x:c r="G39" s="32">
        <x:v>15351.61</x:v>
      </x:c>
      <x:c r="H39" s="32">
        <x:v>31023</x:v>
      </x:c>
      <x:c r="I39" s="32">
        <x:v>26873</x:v>
      </x:c>
      <x:c r="J39" s="32">
        <x:v>23478</x:v>
      </x:c>
      <x:c r="K39" s="32">
        <x:v>0</x:v>
      </x:c>
      <x:c r="L39" s="32">
        <x:v>0</x:v>
      </x:c>
      <x:c r="M39" s="32">
        <x:v>0</x:v>
      </x:c>
      <x:c r="N39" s="32">
        <x:v>36161.06</x:v>
      </x:c>
    </x:row>
    <x:row r="40">
      <x:c r="A40" s="16">
        <x:v>41274</x:v>
      </x:c>
      <x:c r="B40" s="31">
        <x:v>117209.75</x:v>
      </x:c>
      <x:c r="C40" s="31">
        <x:v>125712.25</x:v>
      </x:c>
      <x:c r="D40" s="31">
        <x:v>12.8</x:v>
      </x:c>
      <x:c r="E40" s="32">
        <x:v>15.1</x:v>
      </x:c>
      <x:c r="F40" s="32">
        <x:v>100600.88</x:v>
      </x:c>
      <x:c r="G40" s="32">
        <x:v>16609</x:v>
      </x:c>
      <x:c r="H40" s="32">
        <x:v>37517</x:v>
      </x:c>
      <x:c r="I40" s="32">
        <x:v>36069</x:v>
      </x:c>
      <x:c r="J40" s="32">
        <x:v>28517</x:v>
      </x:c>
      <x:c r="K40" s="32">
        <x:v>0</x:v>
      </x:c>
      <x:c r="L40" s="32">
        <x:v>0</x:v>
      </x:c>
      <x:c r="M40" s="32">
        <x:v>0</x:v>
      </x:c>
      <x:c r="N40" s="32">
        <x:v>24426.41</x:v>
      </x:c>
    </x:row>
    <x:row r="41">
      <x:c r="A41" s="16">
        <x:v>41305</x:v>
      </x:c>
      <x:c r="B41" s="31">
        <x:v>13655.86</x:v>
      </x:c>
      <x:c r="C41" s="31">
        <x:v>8367.26</x:v>
      </x:c>
      <x:c r="D41" s="31">
        <x:v>5.8</x:v>
      </x:c>
      <x:c r="E41" s="32">
        <x:v>19.100000000000001</x:v>
      </x:c>
      <x:c r="F41" s="32">
        <x:v>12025</x:v>
      </x:c>
      <x:c r="G41" s="32">
        <x:v>1630.86</x:v>
      </x:c>
      <x:c r="H41" s="32">
        <x:v>0</x:v>
      </x:c>
      <x:c r="I41" s="32">
        <x:v>0</x:v>
      </x:c>
      <x:c r="J41" s="32">
        <x:v>0</x:v>
      </x:c>
      <x:c r="K41" s="32">
        <x:v>0</x:v>
      </x:c>
      <x:c r="L41" s="32">
        <x:v>0</x:v>
      </x:c>
      <x:c r="M41" s="32">
        <x:v>0</x:v>
      </x:c>
      <x:c r="N41" s="32">
        <x:v>27725.09</x:v>
      </x:c>
    </x:row>
    <x:row r="42">
      <x:c r="A42" s="16">
        <x:v>41333</x:v>
      </x:c>
      <x:c r="B42" s="31">
        <x:v>22426.14</x:v>
      </x:c>
      <x:c r="C42" s="31">
        <x:v>16104.88</x:v>
      </x:c>
      <x:c r="D42" s="31">
        <x:v>7.2</x:v>
      </x:c>
      <x:c r="E42" s="32">
        <x:v>15.7</x:v>
      </x:c>
      <x:c r="F42" s="32">
        <x:v>19593.650000000001</x:v>
      </x:c>
      <x:c r="G42" s="32">
        <x:v>2832.49</x:v>
      </x:c>
      <x:c r="H42" s="32">
        <x:v>0</x:v>
      </x:c>
      <x:c r="I42" s="32">
        <x:v>0</x:v>
      </x:c>
      <x:c r="J42" s="32">
        <x:v>0</x:v>
      </x:c>
      <x:c r="K42" s="32">
        <x:v>0</x:v>
      </x:c>
      <x:c r="L42" s="32">
        <x:v>0</x:v>
      </x:c>
      <x:c r="M42" s="32">
        <x:v>0</x:v>
      </x:c>
      <x:c r="N42" s="32">
        <x:v>27968.2</x:v>
      </x:c>
    </x:row>
    <x:row r="43">
      <x:c r="A43" s="16">
        <x:v>41364</x:v>
      </x:c>
      <x:c r="B43" s="31">
        <x:v>32033.89</x:v>
      </x:c>
      <x:c r="C43" s="31">
        <x:v>27036.74</x:v>
      </x:c>
      <x:c r="D43" s="31">
        <x:v>6.9</x:v>
      </x:c>
      <x:c r="E43" s="32">
        <x:v>12.1</x:v>
      </x:c>
      <x:c r="F43" s="32">
        <x:v>27399.200000000001</x:v>
      </x:c>
      <x:c r="G43" s="32">
        <x:v>4634.6899999999996</x:v>
      </x:c>
      <x:c r="H43" s="32">
        <x:v>9681</x:v>
      </x:c>
      <x:c r="I43" s="32">
        <x:v>7454</x:v>
      </x:c>
      <x:c r="J43" s="32">
        <x:v>7700</x:v>
      </x:c>
      <x:c r="K43" s="32">
        <x:v>0</x:v>
      </x:c>
      <x:c r="L43" s="32">
        <x:v>0</x:v>
      </x:c>
      <x:c r="M43" s="32">
        <x:v>0</x:v>
      </x:c>
      <x:c r="N43" s="32">
        <x:v>25315.73</x:v>
      </x:c>
    </x:row>
    <x:row r="44">
      <x:c r="A44" s="16">
        <x:v>41394</x:v>
      </x:c>
      <x:c r="B44" s="31">
        <x:v>43464.7</x:v>
      </x:c>
      <x:c r="C44" s="31">
        <x:v>36344.69</x:v>
      </x:c>
      <x:c r="D44" s="31">
        <x:v>6.6612</x:v>
      </x:c>
      <x:c r="E44" s="32">
        <x:v>13.563599999999999</x:v>
      </x:c>
      <x:c r="F44" s="32">
        <x:v>37568.07</x:v>
      </x:c>
      <x:c r="G44" s="32">
        <x:v>5896.63</x:v>
      </x:c>
      <x:c r="H44" s="32">
        <x:v>0</x:v>
      </x:c>
      <x:c r="I44" s="32">
        <x:v>0</x:v>
      </x:c>
      <x:c r="J44" s="32">
        <x:v>0</x:v>
      </x:c>
      <x:c r="K44" s="32">
        <x:v>0</x:v>
      </x:c>
      <x:c r="L44" s="32">
        <x:v>0</x:v>
      </x:c>
      <x:c r="M44" s="32">
        <x:v>0</x:v>
      </x:c>
      <x:c r="N44" s="32">
        <x:v>30539.96</x:v>
      </x:c>
    </x:row>
    <x:row r="45">
      <x:c r="A45" s="16">
        <x:v>41425</x:v>
      </x:c>
      <x:c r="B45" s="31">
        <x:v>56213.55</x:v>
      </x:c>
      <x:c r="C45" s="31">
        <x:v>46610.3</x:v>
      </x:c>
      <x:c r="D45" s="31">
        <x:v>6.56</x:v>
      </x:c>
      <x:c r="E45" s="32">
        <x:v>13.22</x:v>
      </x:c>
      <x:c r="F45" s="32">
        <x:v>48978.98</x:v>
      </x:c>
      <x:c r="G45" s="32">
        <x:v>7234.57</x:v>
      </x:c>
      <x:c r="H45" s="32">
        <x:v>0</x:v>
      </x:c>
      <x:c r="I45" s="32">
        <x:v>0</x:v>
      </x:c>
      <x:c r="J45" s="32">
        <x:v>0</x:v>
      </x:c>
      <x:c r="K45" s="32">
        <x:v>0</x:v>
      </x:c>
      <x:c r="L45" s="32">
        <x:v>0</x:v>
      </x:c>
      <x:c r="M45" s="32">
        <x:v>0</x:v>
      </x:c>
      <x:c r="N45" s="32">
        <x:v>35172.46</x:v>
      </x:c>
    </x:row>
    <x:row r="46">
      <x:c r="A46" s="16">
        <x:v>41455</x:v>
      </x:c>
      <x:c r="B46" s="31">
        <x:v>68590.52</x:v>
      </x:c>
      <x:c r="C46" s="31">
        <x:v>59713.99</x:v>
      </x:c>
      <x:c r="D46" s="31">
        <x:v>7.52</x:v>
      </x:c>
      <x:c r="E46" s="32">
        <x:v>10.8</x:v>
      </x:c>
      <x:c r="F46" s="32">
        <x:v>59260.61</x:v>
      </x:c>
      <x:c r="G46" s="32">
        <x:v>9329.91</x:v>
      </x:c>
      <x:c r="H46" s="32">
        <x:v>21061</x:v>
      </x:c>
      <x:c r="I46" s="32">
        <x:v>17819</x:v>
      </x:c>
      <x:c r="J46" s="32">
        <x:v>16722</x:v>
      </x:c>
      <x:c r="K46" s="32">
        <x:v>0</x:v>
      </x:c>
      <x:c r="L46" s="32">
        <x:v>0</x:v>
      </x:c>
      <x:c r="M46" s="32">
        <x:v>0</x:v>
      </x:c>
      <x:c r="N46" s="32">
        <x:v>33953.440000000002</x:v>
      </x:c>
    </x:row>
    <x:row r="47">
      <x:c r="A47" s="16">
        <x:v>41486</x:v>
      </x:c>
      <x:c r="B47" s="31">
        <x:v>80439.13</x:v>
      </x:c>
      <x:c r="C47" s="31">
        <x:v>69068.5</x:v>
      </x:c>
      <x:c r="D47" s="31">
        <x:v>8.02</x:v>
      </x:c>
      <x:c r="E47" s="32">
        <x:v>8.91</x:v>
      </x:c>
      <x:c r="F47" s="32">
        <x:v>69432.03</x:v>
      </x:c>
      <x:c r="G47" s="32">
        <x:v>11007.1</x:v>
      </x:c>
      <x:c r="H47" s="32">
        <x:v>0</x:v>
      </x:c>
      <x:c r="I47" s="32">
        <x:v>0</x:v>
      </x:c>
      <x:c r="J47" s="32">
        <x:v>0</x:v>
      </x:c>
      <x:c r="K47" s="32">
        <x:v>0</x:v>
      </x:c>
      <x:c r="L47" s="32">
        <x:v>0</x:v>
      </x:c>
      <x:c r="M47" s="32">
        <x:v>0</x:v>
      </x:c>
      <x:c r="N47" s="32">
        <x:v>40498.720000000001</x:v>
      </x:c>
    </x:row>
    <x:row r="48">
      <x:c r="A48" s="16">
        <x:v>41517</x:v>
      </x:c>
      <x:c r="B48" s="31">
        <x:v>89027.3</x:v>
      </x:c>
      <x:c r="C48" s="31">
        <x:v>78676.11</x:v>
      </x:c>
      <x:c r="D48" s="31">
        <x:v>8.1300000000000008</x:v>
      </x:c>
      <x:c r="E48" s="32">
        <x:v>8.61</x:v>
      </x:c>
      <x:c r="F48" s="32">
        <x:v>76581.02</x:v>
      </x:c>
      <x:c r="G48" s="32">
        <x:v>12446.28</x:v>
      </x:c>
      <x:c r="H48" s="32">
        <x:v>0</x:v>
      </x:c>
      <x:c r="I48" s="32">
        <x:v>0</x:v>
      </x:c>
      <x:c r="J48" s="32">
        <x:v>0</x:v>
      </x:c>
      <x:c r="K48" s="32">
        <x:v>0</x:v>
      </x:c>
      <x:c r="L48" s="32">
        <x:v>0</x:v>
      </x:c>
      <x:c r="M48" s="32">
        <x:v>0</x:v>
      </x:c>
      <x:c r="N48" s="32">
        <x:v>41897.24</x:v>
      </x:c>
    </x:row>
    <x:row r="49">
      <x:c r="A49" s="16">
        <x:v>41547</x:v>
      </x:c>
      <x:c r="B49" s="31">
        <x:v>98389.03</x:v>
      </x:c>
      <x:c r="C49" s="31">
        <x:v>91532.33</x:v>
      </x:c>
      <x:c r="D49" s="31">
        <x:v>8.61</x:v>
      </x:c>
      <x:c r="E49" s="32">
        <x:v>8.81</x:v>
      </x:c>
      <x:c r="F49" s="32">
        <x:v>84412.11</x:v>
      </x:c>
      <x:c r="G49" s="32">
        <x:v>13976.92</x:v>
      </x:c>
      <x:c r="H49" s="32">
        <x:v>33989</x:v>
      </x:c>
      <x:c r="I49" s="32">
        <x:v>28299</x:v>
      </x:c>
      <x:c r="J49" s="32">
        <x:v>26836</x:v>
      </x:c>
      <x:c r="K49" s="32">
        <x:v>0</x:v>
      </x:c>
      <x:c r="L49" s="32">
        <x:v>0</x:v>
      </x:c>
      <x:c r="M49" s="32">
        <x:v>0</x:v>
      </x:c>
      <x:c r="N49" s="32">
        <x:v>38965.120000000003</x:v>
      </x:c>
    </x:row>
    <x:row r="50">
      <x:c r="A50" s="16">
        <x:v>41578</x:v>
      </x:c>
      <x:c r="B50" s="31">
        <x:v>110525.44</x:v>
      </x:c>
      <x:c r="C50" s="31">
        <x:v>102039.67999999999</x:v>
      </x:c>
      <x:c r="D50" s="31">
        <x:v>9.4</x:v>
      </x:c>
      <x:c r="E50" s="32">
        <x:v>10.029999999999999</x:v>
      </x:c>
      <x:c r="F50" s="32">
        <x:v>95304.66</x:v>
      </x:c>
      <x:c r="G50" s="32">
        <x:v>15220.78</x:v>
      </x:c>
      <x:c r="H50" s="32">
        <x:v>0</x:v>
      </x:c>
      <x:c r="I50" s="32">
        <x:v>0</x:v>
      </x:c>
      <x:c r="J50" s="32">
        <x:v>0</x:v>
      </x:c>
      <x:c r="K50" s="32">
        <x:v>0</x:v>
      </x:c>
      <x:c r="L50" s="32">
        <x:v>0</x:v>
      </x:c>
      <x:c r="M50" s="32">
        <x:v>0</x:v>
      </x:c>
      <x:c r="N50" s="32">
        <x:v>45173.37</x:v>
      </x:c>
    </x:row>
    <x:row r="51">
      <x:c r="A51" s="16">
        <x:v>41608</x:v>
      </x:c>
      <x:c r="B51" s="31">
        <x:v>119650.4</x:v>
      </x:c>
      <x:c r="C51" s="31">
        <x:v>114697.21</x:v>
      </x:c>
      <x:c r="D51" s="31">
        <x:v>9.8699999999999992</x:v>
      </x:c>
      <x:c r="E51" s="32">
        <x:v>9.34</x:v>
      </x:c>
      <x:c r="F51" s="32">
        <x:v>102876.82</x:v>
      </x:c>
      <x:c r="G51" s="32">
        <x:v>16773.580000000002</x:v>
      </x:c>
      <x:c r="H51" s="32">
        <x:v>0</x:v>
      </x:c>
      <x:c r="I51" s="32">
        <x:v>0</x:v>
      </x:c>
      <x:c r="J51" s="32">
        <x:v>0</x:v>
      </x:c>
      <x:c r="K51" s="32">
        <x:v>0</x:v>
      </x:c>
      <x:c r="L51" s="32">
        <x:v>0</x:v>
      </x:c>
      <x:c r="M51" s="32">
        <x:v>0</x:v>
      </x:c>
      <x:c r="N51" s="32">
        <x:v>44738.32</x:v>
      </x:c>
    </x:row>
    <x:row r="52">
      <x:c r="A52" s="16">
        <x:v>41639</x:v>
      </x:c>
      <x:c r="B52" s="31">
        <x:v>129143</x:v>
      </x:c>
      <x:c r="C52" s="31">
        <x:v>139744</x:v>
      </x:c>
      <x:c r="D52" s="31">
        <x:v>10.1</x:v>
      </x:c>
      <x:c r="E52" s="32">
        <x:v>10.9</x:v>
      </x:c>
      <x:c r="F52" s="32">
        <x:v>110497</x:v>
      </x:c>
      <x:c r="G52" s="32">
        <x:v>18646</x:v>
      </x:c>
      <x:c r="H52" s="32">
        <x:v>52239</x:v>
      </x:c>
      <x:c r="I52" s="32">
        <x:v>50116</x:v>
      </x:c>
      <x:c r="J52" s="32">
        <x:v>41250</x:v>
      </x:c>
      <x:c r="K52" s="32">
        <x:v>0</x:v>
      </x:c>
      <x:c r="L52" s="32">
        <x:v>0</x:v>
      </x:c>
      <x:c r="M52" s="32">
        <x:v>0</x:v>
      </x:c>
      <x:c r="N52" s="32">
        <x:v>30133.47</x:v>
      </x:c>
    </x:row>
    <x:row r="53">
      <x:c r="A53" s="16">
        <x:v>41670</x:v>
      </x:c>
      <x:c r="B53" s="31">
        <x:v>15434.54</x:v>
      </x:c>
      <x:c r="C53" s="31">
        <x:v>10153.31</x:v>
      </x:c>
      <x:c r="D53" s="31">
        <x:v>13.03</x:v>
      </x:c>
      <x:c r="E53" s="32">
        <x:v>21.35</x:v>
      </x:c>
      <x:c r="F53" s="32">
        <x:v>13905.51</x:v>
      </x:c>
      <x:c r="G53" s="32">
        <x:v>1529.03</x:v>
      </x:c>
      <x:c r="H53" s="32">
        <x:v>0</x:v>
      </x:c>
      <x:c r="I53" s="32">
        <x:v>0</x:v>
      </x:c>
      <x:c r="J53" s="32">
        <x:v>0</x:v>
      </x:c>
      <x:c r="K53" s="32">
        <x:v>0</x:v>
      </x:c>
      <x:c r="L53" s="32">
        <x:v>0</x:v>
      </x:c>
      <x:c r="M53" s="32">
        <x:v>0</x:v>
      </x:c>
      <x:c r="N53" s="32">
        <x:v>31664.77</x:v>
      </x:c>
    </x:row>
    <x:row r="54">
      <x:c r="A54" s="16">
        <x:v>41698</x:v>
      </x:c>
      <x:c r="B54" s="31">
        <x:v>24922.52</x:v>
      </x:c>
      <x:c r="C54" s="31">
        <x:v>17066.7</x:v>
      </x:c>
      <x:c r="D54" s="31">
        <x:v>11.131600000000001</x:v>
      </x:c>
      <x:c r="E54" s="32">
        <x:v>5.9722</x:v>
      </x:c>
      <x:c r="F54" s="32">
        <x:v>22187.53</x:v>
      </x:c>
      <x:c r="G54" s="32">
        <x:v>2734.99</x:v>
      </x:c>
      <x:c r="H54" s="32">
        <x:v>0</x:v>
      </x:c>
      <x:c r="I54" s="32">
        <x:v>0</x:v>
      </x:c>
      <x:c r="J54" s="32">
        <x:v>0</x:v>
      </x:c>
      <x:c r="K54" s="32">
        <x:v>0</x:v>
      </x:c>
      <x:c r="L54" s="32">
        <x:v>0</x:v>
      </x:c>
      <x:c r="M54" s="32">
        <x:v>0</x:v>
      </x:c>
      <x:c r="N54" s="32">
        <x:v>35887.15</x:v>
      </x:c>
    </x:row>
    <x:row r="55">
      <x:c r="A55" s="16">
        <x:v>41729</x:v>
      </x:c>
      <x:c r="B55" s="31">
        <x:v>35025.730000000003</x:v>
      </x:c>
      <x:c r="C55" s="31">
        <x:v>30432.47</x:v>
      </x:c>
      <x:c r="D55" s="31">
        <x:v>9.3396000000000008</x:v>
      </x:c>
      <x:c r="E55" s="32">
        <x:v>12.559699999999999</x:v>
      </x:c>
      <x:c r="F55" s="32">
        <x:v>30187.83</x:v>
      </x:c>
      <x:c r="G55" s="32">
        <x:v>4837.8999999999996</x:v>
      </x:c>
      <x:c r="H55" s="32">
        <x:v>13063</x:v>
      </x:c>
      <x:c r="I55" s="32">
        <x:v>10018</x:v>
      </x:c>
      <x:c r="J55" s="32">
        <x:v>10802</x:v>
      </x:c>
      <x:c r="K55" s="32">
        <x:v>0</x:v>
      </x:c>
      <x:c r="L55" s="32">
        <x:v>0</x:v>
      </x:c>
      <x:c r="M55" s="32">
        <x:v>0</x:v>
      </x:c>
      <x:c r="N55" s="32">
        <x:v>31063.31</x:v>
      </x:c>
    </x:row>
    <x:row r="56">
      <x:c r="A56" s="16">
        <x:v>41759</x:v>
      </x:c>
      <x:c r="B56" s="31">
        <x:v>47506.99</x:v>
      </x:c>
      <x:c r="C56" s="31">
        <x:v>39842.28</x:v>
      </x:c>
      <x:c r="D56" s="31">
        <x:v>9.3002000000000002</x:v>
      </x:c>
      <x:c r="E56" s="32">
        <x:v>9.6234000000000002</x:v>
      </x:c>
      <x:c r="F56" s="32">
        <x:v>41273.599999999999</x:v>
      </x:c>
      <x:c r="G56" s="32">
        <x:v>6233.39</x:v>
      </x:c>
      <x:c r="H56" s="32">
        <x:v>0</x:v>
      </x:c>
      <x:c r="I56" s="32">
        <x:v>0</x:v>
      </x:c>
      <x:c r="J56" s="32">
        <x:v>0</x:v>
      </x:c>
      <x:c r="K56" s="32">
        <x:v>0</x:v>
      </x:c>
      <x:c r="L56" s="32">
        <x:v>0</x:v>
      </x:c>
      <x:c r="M56" s="32">
        <x:v>0</x:v>
      </x:c>
      <x:c r="N56" s="32">
        <x:v>36678.43</x:v>
      </x:c>
    </x:row>
    <x:row r="57">
      <x:c r="A57" s="16">
        <x:v>41790</x:v>
      </x:c>
      <x:c r="B57" s="31">
        <x:v>61176.97</x:v>
      </x:c>
      <x:c r="C57" s="31">
        <x:v>52632.12</x:v>
      </x:c>
      <x:c r="D57" s="31">
        <x:v>8.8295999999999992</x:v>
      </x:c>
      <x:c r="E57" s="32">
        <x:v>12.919499999999999</x:v>
      </x:c>
      <x:c r="F57" s="32">
        <x:v>53463.31</x:v>
      </x:c>
      <x:c r="G57" s="32">
        <x:v>7713.66</x:v>
      </x:c>
      <x:c r="H57" s="32">
        <x:v>0</x:v>
      </x:c>
      <x:c r="I57" s="32">
        <x:v>0</x:v>
      </x:c>
      <x:c r="J57" s="32">
        <x:v>0</x:v>
      </x:c>
      <x:c r="K57" s="32">
        <x:v>0</x:v>
      </x:c>
      <x:c r="L57" s="32">
        <x:v>0</x:v>
      </x:c>
      <x:c r="M57" s="32">
        <x:v>0</x:v>
      </x:c>
      <x:c r="N57" s="32">
        <x:v>39705.29</x:v>
      </x:c>
    </x:row>
    <x:row r="58">
      <x:c r="A58" s="16">
        <x:v>41820</x:v>
      </x:c>
      <x:c r="B58" s="31">
        <x:v>74638.02</x:v>
      </x:c>
      <x:c r="C58" s="31">
        <x:v>69154.100000000006</x:v>
      </x:c>
      <x:c r="D58" s="31">
        <x:v>8.8000000000000007</x:v>
      </x:c>
      <x:c r="E58" s="32">
        <x:v>15.8</x:v>
      </x:c>
      <x:c r="F58" s="32">
        <x:v>64268.74</x:v>
      </x:c>
      <x:c r="G58" s="32">
        <x:v>10369.280000000001</x:v>
      </x:c>
      <x:c r="H58" s="32">
        <x:v>25968</x:v>
      </x:c>
      <x:c r="I58" s="32">
        <x:v>22126</x:v>
      </x:c>
      <x:c r="J58" s="32">
        <x:v>21129</x:v>
      </x:c>
      <x:c r="K58" s="32">
        <x:v>0</x:v>
      </x:c>
      <x:c r="L58" s="32">
        <x:v>0</x:v>
      </x:c>
      <x:c r="M58" s="32">
        <x:v>0</x:v>
      </x:c>
      <x:c r="N58" s="32">
        <x:v>36674.089999999997</x:v>
      </x:c>
    </x:row>
    <x:row r="59">
      <x:c r="A59" s="16">
        <x:v>41851</x:v>
      </x:c>
      <x:c r="B59" s="31">
        <x:v>87299.6</x:v>
      </x:c>
      <x:c r="C59" s="31">
        <x:v>79410.289999999994</x:v>
      </x:c>
      <x:c r="D59" s="31">
        <x:v>8.5</x:v>
      </x:c>
      <x:c r="E59" s="32">
        <x:v>15</x:v>
      </x:c>
      <x:c r="F59" s="32">
        <x:v>75400.52</x:v>
      </x:c>
      <x:c r="G59" s="32">
        <x:v>11899.08</x:v>
      </x:c>
      <x:c r="H59" s="32">
        <x:v>0</x:v>
      </x:c>
      <x:c r="I59" s="32">
        <x:v>0</x:v>
      </x:c>
      <x:c r="J59" s="32">
        <x:v>0</x:v>
      </x:c>
      <x:c r="K59" s="32">
        <x:v>0</x:v>
      </x:c>
      <x:c r="L59" s="32">
        <x:v>0</x:v>
      </x:c>
      <x:c r="M59" s="32">
        <x:v>0</x:v>
      </x:c>
      <x:c r="N59" s="32">
        <x:v>43477.78</x:v>
      </x:c>
    </x:row>
    <x:row r="60">
      <x:c r="A60" s="16">
        <x:v>41882</x:v>
      </x:c>
      <x:c r="B60" s="31">
        <x:v>96408.76</x:v>
      </x:c>
      <x:c r="C60" s="31">
        <x:v>89613.98</x:v>
      </x:c>
      <x:c r="D60" s="31">
        <x:v>8.3000000000000007</x:v>
      </x:c>
      <x:c r="E60" s="32">
        <x:v>13.9</x:v>
      </x:c>
      <x:c r="F60" s="32">
        <x:v>82687.69</x:v>
      </x:c>
      <x:c r="G60" s="32">
        <x:v>13721.07</x:v>
      </x:c>
      <x:c r="H60" s="32">
        <x:v>0</x:v>
      </x:c>
      <x:c r="I60" s="32">
        <x:v>0</x:v>
      </x:c>
      <x:c r="J60" s="32">
        <x:v>0</x:v>
      </x:c>
      <x:c r="K60" s="32">
        <x:v>0</x:v>
      </x:c>
      <x:c r="L60" s="32">
        <x:v>0</x:v>
      </x:c>
      <x:c r="M60" s="32">
        <x:v>0</x:v>
      </x:c>
      <x:c r="N60" s="32">
        <x:v>44470.12</x:v>
      </x:c>
    </x:row>
    <x:row r="61">
      <x:c r="A61" s="16">
        <x:v>41912</x:v>
      </x:c>
      <x:c r="B61" s="31">
        <x:v>106361.77</x:v>
      </x:c>
      <x:c r="C61" s="31">
        <x:v>103639.51</x:v>
      </x:c>
      <x:c r="D61" s="31">
        <x:v>8.1</x:v>
      </x:c>
      <x:c r="E61" s="32">
        <x:v>13.2</x:v>
      </x:c>
      <x:c r="F61" s="32">
        <x:v>90695.17</x:v>
      </x:c>
      <x:c r="G61" s="32">
        <x:v>15666.6</x:v>
      </x:c>
      <x:c r="H61" s="32">
        <x:v>39109</x:v>
      </x:c>
      <x:c r="I61" s="32">
        <x:v>33238</x:v>
      </x:c>
      <x:c r="J61" s="32">
        <x:v>31290</x:v>
      </x:c>
      <x:c r="K61" s="32">
        <x:v>0</x:v>
      </x:c>
      <x:c r="L61" s="32">
        <x:v>0</x:v>
      </x:c>
      <x:c r="M61" s="32">
        <x:v>0</x:v>
      </x:c>
      <x:c r="N61" s="32">
        <x:v>41304.92</x:v>
      </x:c>
    </x:row>
    <x:row r="62">
      <x:c r="A62" s="16">
        <x:v>41943</x:v>
      </x:c>
      <x:c r="B62" s="31">
        <x:v>119641.97</x:v>
      </x:c>
      <x:c r="C62" s="31">
        <x:v>113549.29</x:v>
      </x:c>
      <x:c r="D62" s="31">
        <x:v>8.1999999999999993</x:v>
      </x:c>
      <x:c r="E62" s="32">
        <x:v>11.3</x:v>
      </x:c>
      <x:c r="F62" s="32">
        <x:v>102500.92</x:v>
      </x:c>
      <x:c r="G62" s="32">
        <x:v>17141.05</x:v>
      </x:c>
      <x:c r="H62" s="32">
        <x:v>0</x:v>
      </x:c>
      <x:c r="I62" s="32">
        <x:v>0</x:v>
      </x:c>
      <x:c r="J62" s="32">
        <x:v>0</x:v>
      </x:c>
      <x:c r="K62" s="32">
        <x:v>0</x:v>
      </x:c>
      <x:c r="L62" s="32">
        <x:v>0</x:v>
      </x:c>
      <x:c r="M62" s="32">
        <x:v>0</x:v>
      </x:c>
      <x:c r="N62" s="32">
        <x:v>48141.71</x:v>
      </x:c>
    </x:row>
    <x:row r="63">
      <x:c r="A63" s="16">
        <x:v>41973</x:v>
      </x:c>
      <x:c r="B63" s="31">
        <x:v>129594.88</x:v>
      </x:c>
      <x:c r="C63" s="31">
        <x:v>126307.87</x:v>
      </x:c>
      <x:c r="D63" s="31">
        <x:v>8.3000000000000007</x:v>
      </x:c>
      <x:c r="E63" s="32">
        <x:v>10.1</x:v>
      </x:c>
      <x:c r="F63" s="32">
        <x:v>110597.65</x:v>
      </x:c>
      <x:c r="G63" s="32">
        <x:v>18997.23</x:v>
      </x:c>
      <x:c r="H63" s="32">
        <x:v>0</x:v>
      </x:c>
      <x:c r="I63" s="32">
        <x:v>0</x:v>
      </x:c>
      <x:c r="J63" s="32">
        <x:v>0</x:v>
      </x:c>
      <x:c r="K63" s="32">
        <x:v>0</x:v>
      </x:c>
      <x:c r="L63" s="32">
        <x:v>0</x:v>
      </x:c>
      <x:c r="M63" s="32">
        <x:v>0</x:v>
      </x:c>
      <x:c r="N63" s="32">
        <x:v>48370.92</x:v>
      </x:c>
    </x:row>
    <x:row r="64">
      <x:c r="A64" s="16">
        <x:v>42004</x:v>
      </x:c>
      <x:c r="B64" s="31">
        <x:v>140350</x:v>
      </x:c>
      <x:c r="C64" s="31">
        <x:v>151662</x:v>
      </x:c>
      <x:c r="D64" s="31">
        <x:v>8.6</x:v>
      </x:c>
      <x:c r="E64" s="32">
        <x:v>8.1999999999999993</x:v>
      </x:c>
      <x:c r="F64" s="32">
        <x:v>119158</x:v>
      </x:c>
      <x:c r="G64" s="32">
        <x:v>21192</x:v>
      </x:c>
      <x:c r="H64" s="32">
        <x:v>54093</x:v>
      </x:c>
      <x:c r="I64" s="32">
        <x:v>51388</x:v>
      </x:c>
      <x:c r="J64" s="32">
        <x:v>42606</x:v>
      </x:c>
      <x:c r="K64" s="32">
        <x:v>0</x:v>
      </x:c>
      <x:c r="L64" s="32">
        <x:v>0</x:v>
      </x:c>
      <x:c r="M64" s="32">
        <x:v>0</x:v>
      </x:c>
      <x:c r="N64" s="32">
        <x:v>35664.480000000003</x:v>
      </x:c>
    </x:row>
    <x:row r="65">
      <x:c r="A65" s="16">
        <x:v>42035</x:v>
      </x:c>
      <x:c r="B65" s="31">
        <x:v>16203.42</x:v>
      </x:c>
      <x:c r="C65" s="31">
        <x:v>8136.78</x:v>
      </x:c>
      <x:c r="D65" s="31">
        <x:v>5</x:v>
      </x:c>
      <x:c r="E65" s="32">
        <x:v>-19.899999999999999</x:v>
      </x:c>
      <x:c r="F65" s="32">
        <x:v>14278.99</x:v>
      </x:c>
      <x:c r="G65" s="32">
        <x:v>1924.43</x:v>
      </x:c>
      <x:c r="H65" s="32">
        <x:v>0</x:v>
      </x:c>
      <x:c r="I65" s="32">
        <x:v>0</x:v>
      </x:c>
      <x:c r="J65" s="32">
        <x:v>0</x:v>
      </x:c>
      <x:c r="K65" s="32">
        <x:v>0</x:v>
      </x:c>
      <x:c r="L65" s="32">
        <x:v>0</x:v>
      </x:c>
      <x:c r="M65" s="32">
        <x:v>0</x:v>
      </x:c>
      <x:c r="N65" s="32">
        <x:v>42296.62</x:v>
      </x:c>
    </x:row>
    <x:row r="66">
      <x:c r="A66" s="16">
        <x:v>42063</x:v>
      </x:c>
      <x:c r="B66" s="31">
        <x:v>25716.5</x:v>
      </x:c>
      <x:c r="C66" s="31">
        <x:v>18865.16</x:v>
      </x:c>
      <x:c r="D66" s="31">
        <x:v>3.2</x:v>
      </x:c>
      <x:c r="E66" s="32">
        <x:v>10.5</x:v>
      </x:c>
      <x:c r="F66" s="32">
        <x:v>22361.1</x:v>
      </x:c>
      <x:c r="G66" s="32">
        <x:v>3355.4</x:v>
      </x:c>
      <x:c r="H66" s="32">
        <x:v>5756</x:v>
      </x:c>
      <x:c r="I66" s="32">
        <x:v>4493</x:v>
      </x:c>
      <x:c r="J66" s="32">
        <x:v>4553</x:v>
      </x:c>
      <x:c r="K66" s="32">
        <x:v>0</x:v>
      </x:c>
      <x:c r="L66" s="32">
        <x:v>0</x:v>
      </x:c>
      <x:c r="M66" s="32">
        <x:v>0</x:v>
      </x:c>
      <x:c r="N66" s="32">
        <x:v>37591.24</x:v>
      </x:c>
    </x:row>
    <x:row r="67">
      <x:c r="A67" s="16">
        <x:v>42094</x:v>
      </x:c>
      <x:c r="B67" s="31">
        <x:v>36407.120000000003</x:v>
      </x:c>
      <x:c r="C67" s="31">
        <x:v>32815.269999999997</x:v>
      </x:c>
      <x:c r="D67" s="31">
        <x:v>3.9</x:v>
      </x:c>
      <x:c r="E67" s="32">
        <x:v>7.8</x:v>
      </x:c>
      <x:c r="F67" s="32">
        <x:v>30563.3</x:v>
      </x:c>
      <x:c r="G67" s="32">
        <x:v>5843.82</x:v>
      </x:c>
      <x:c r="H67" s="32">
        <x:v>8719</x:v>
      </x:c>
      <x:c r="I67" s="32">
        <x:v>7564</x:v>
      </x:c>
      <x:c r="J67" s="32">
        <x:v>6905</x:v>
      </x:c>
      <x:c r="K67" s="32">
        <x:v>0</x:v>
      </x:c>
      <x:c r="L67" s="32">
        <x:v>0</x:v>
      </x:c>
      <x:c r="M67" s="32">
        <x:v>0</x:v>
      </x:c>
      <x:c r="N67" s="32">
        <x:v>34356.39</x:v>
      </x:c>
    </x:row>
    <x:row r="68">
      <x:c r="A68" s="16">
        <x:v>42124</x:v>
      </x:c>
      <x:c r="B68" s="31">
        <x:v>49909.21</x:v>
      </x:c>
      <x:c r="C68" s="31">
        <x:v>45349.77</x:v>
      </x:c>
      <x:c r="D68" s="31">
        <x:v>5.0999999999999996</x:v>
      </x:c>
      <x:c r="E68" s="32">
        <x:v>13.8</x:v>
      </x:c>
      <x:c r="F68" s="32">
        <x:v>42290.71</x:v>
      </x:c>
      <x:c r="G68" s="32">
        <x:v>7618.5</x:v>
      </x:c>
      <x:c r="H68" s="32">
        <x:v>11547</x:v>
      </x:c>
      <x:c r="I68" s="32">
        <x:v>10355</x:v>
      </x:c>
      <x:c r="J68" s="32">
        <x:v>9016</x:v>
      </x:c>
      <x:c r="K68" s="32">
        <x:v>0</x:v>
      </x:c>
      <x:c r="L68" s="32">
        <x:v>0</x:v>
      </x:c>
      <x:c r="M68" s="32">
        <x:v>0</x:v>
      </x:c>
      <x:c r="N68" s="32">
        <x:v>35457.699999999997</x:v>
      </x:c>
    </x:row>
    <x:row r="69">
      <x:c r="A69" s="16">
        <x:v>42155</x:v>
      </x:c>
      <x:c r="B69" s="31">
        <x:v>64264.7</x:v>
      </x:c>
      <x:c r="C69" s="31">
        <x:v>58473.919999999998</x:v>
      </x:c>
      <x:c r="D69" s="31">
        <x:v>5</x:v>
      </x:c>
      <x:c r="E69" s="32">
        <x:v>11.1</x:v>
      </x:c>
      <x:c r="F69" s="32">
        <x:v>54530.54</x:v>
      </x:c>
      <x:c r="G69" s="32">
        <x:v>9734.16</x:v>
      </x:c>
      <x:c r="H69" s="32">
        <x:v>14143</x:v>
      </x:c>
      <x:c r="I69" s="32">
        <x:v>13004</x:v>
      </x:c>
      <x:c r="J69" s="32">
        <x:v>10793</x:v>
      </x:c>
      <x:c r="K69" s="32">
        <x:v>0</x:v>
      </x:c>
      <x:c r="L69" s="32">
        <x:v>0</x:v>
      </x:c>
      <x:c r="M69" s="32">
        <x:v>0</x:v>
      </x:c>
      <x:c r="N69" s="32">
        <x:v>39310.06</x:v>
      </x:c>
    </x:row>
    <x:row r="70">
      <x:c r="A70" s="16">
        <x:v>42185</x:v>
      </x:c>
      <x:c r="B70" s="31">
        <x:v>79599.94</x:v>
      </x:c>
      <x:c r="C70" s="31">
        <x:v>77287.94</x:v>
      </x:c>
      <x:c r="D70" s="31">
        <x:v>6.6</x:v>
      </x:c>
      <x:c r="E70" s="32">
        <x:v>11.8</x:v>
      </x:c>
      <x:c r="F70" s="32">
        <x:v>66506.600000000006</x:v>
      </x:c>
      <x:c r="G70" s="32">
        <x:v>13093.34</x:v>
      </x:c>
      <x:c r="H70" s="32">
        <x:v>17340</x:v>
      </x:c>
      <x:c r="I70" s="32">
        <x:v>17059</x:v>
      </x:c>
      <x:c r="J70" s="32">
        <x:v>13043</x:v>
      </x:c>
      <x:c r="K70" s="32">
        <x:v>0</x:v>
      </x:c>
      <x:c r="L70" s="32">
        <x:v>0</x:v>
      </x:c>
      <x:c r="M70" s="32">
        <x:v>0</x:v>
      </x:c>
      <x:c r="N70" s="32">
        <x:v>40610.33</x:v>
      </x:c>
    </x:row>
    <x:row r="71">
      <x:c r="A71" s="16">
        <x:v>42216</x:v>
      </x:c>
      <x:c r="B71" s="31">
        <x:v>93849.3</x:v>
      </x:c>
      <x:c r="C71" s="31">
        <x:v>90020.31</x:v>
      </x:c>
      <x:c r="D71" s="31">
        <x:v>7.5</x:v>
      </x:c>
      <x:c r="E71" s="32">
        <x:v>13.4</x:v>
      </x:c>
      <x:c r="F71" s="32">
        <x:v>78793.289999999994</x:v>
      </x:c>
      <x:c r="G71" s="32">
        <x:v>15056.01</x:v>
      </x:c>
      <x:c r="H71" s="32">
        <x:v>20396</x:v>
      </x:c>
      <x:c r="I71" s="32">
        <x:v>19557</x:v>
      </x:c>
      <x:c r="J71" s="32">
        <x:v>15425</x:v>
      </x:c>
      <x:c r="K71" s="32">
        <x:v>0</x:v>
      </x:c>
      <x:c r="L71" s="32">
        <x:v>0</x:v>
      </x:c>
      <x:c r="M71" s="32">
        <x:v>0</x:v>
      </x:c>
      <x:c r="N71" s="32">
        <x:v>45759.97</x:v>
      </x:c>
    </x:row>
    <x:row r="72">
      <x:c r="A72" s="16">
        <x:v>42247</x:v>
      </x:c>
      <x:c r="B72" s="31">
        <x:v>103520.63</x:v>
      </x:c>
      <x:c r="C72" s="31">
        <x:v>102863.82</x:v>
      </x:c>
      <x:c r="D72" s="31">
        <x:v>7.4</x:v>
      </x:c>
      <x:c r="E72" s="32">
        <x:v>14.8</x:v>
      </x:c>
      <x:c r="F72" s="32">
        <x:v>86332.479999999996</x:v>
      </x:c>
      <x:c r="G72" s="32">
        <x:v>17188.150000000001</x:v>
      </x:c>
      <x:c r="H72" s="32">
        <x:v>23399</x:v>
      </x:c>
      <x:c r="I72" s="32">
        <x:v>22243</x:v>
      </x:c>
      <x:c r="J72" s="32">
        <x:v>17599</x:v>
      </x:c>
      <x:c r="K72" s="32">
        <x:v>0</x:v>
      </x:c>
      <x:c r="L72" s="32">
        <x:v>0</x:v>
      </x:c>
      <x:c r="M72" s="32">
        <x:v>0</x:v>
      </x:c>
      <x:c r="N72" s="32">
        <x:v>44170.05</x:v>
      </x:c>
    </x:row>
    <x:row r="73">
      <x:c r="A73" s="16">
        <x:v>42277</x:v>
      </x:c>
      <x:c r="B73" s="31">
        <x:v>114412.49</x:v>
      </x:c>
      <x:c r="C73" s="31">
        <x:v>120662.53</x:v>
      </x:c>
      <x:c r="D73" s="31">
        <x:v>7.6</x:v>
      </x:c>
      <x:c r="E73" s="32">
        <x:v>16.399999999999999</x:v>
      </x:c>
      <x:c r="F73" s="32">
        <x:v>94631.48</x:v>
      </x:c>
      <x:c r="G73" s="32">
        <x:v>19781.009999999998</x:v>
      </x:c>
      <x:c r="H73" s="32">
        <x:v>27166</x:v>
      </x:c>
      <x:c r="I73" s="32">
        <x:v>26499</x:v>
      </x:c>
      <x:c r="J73" s="32">
        <x:v>20437</x:v>
      </x:c>
      <x:c r="K73" s="32">
        <x:v>0</x:v>
      </x:c>
      <x:c r="L73" s="32">
        <x:v>0</x:v>
      </x:c>
      <x:c r="M73" s="32">
        <x:v>0</x:v>
      </x:c>
      <x:c r="N73" s="32">
        <x:v>41078.42</x:v>
      </x:c>
    </x:row>
    <x:row r="74">
      <x:c r="A74" s="16">
        <x:v>42308</x:v>
      </x:c>
      <x:c r="B74" s="31">
        <x:v>128847.57</x:v>
      </x:c>
      <x:c r="C74" s="31">
        <x:v>134153.95000000001</x:v>
      </x:c>
      <x:c r="D74" s="31">
        <x:v>7.7</x:v>
      </x:c>
      <x:c r="E74" s="32">
        <x:v>18.100000000000001</x:v>
      </x:c>
      <x:c r="F74" s="32">
        <x:v>106654.43</x:v>
      </x:c>
      <x:c r="G74" s="32">
        <x:v>22193.14</x:v>
      </x:c>
      <x:c r="H74" s="32">
        <x:v>30472</x:v>
      </x:c>
      <x:c r="I74" s="32">
        <x:v>28990</x:v>
      </x:c>
      <x:c r="J74" s="32">
        <x:v>23043</x:v>
      </x:c>
      <x:c r="K74" s="32">
        <x:v>0</x:v>
      </x:c>
      <x:c r="L74" s="32">
        <x:v>0</x:v>
      </x:c>
      <x:c r="M74" s="32">
        <x:v>0</x:v>
      </x:c>
      <x:c r="N74" s="32">
        <x:v>46188.99</x:v>
      </x:c>
    </x:row>
    <x:row r="75">
      <x:c r="A75" s="16">
        <x:v>42338</x:v>
      </x:c>
      <x:c r="B75" s="31">
        <x:v>139934.95000000001</x:v>
      </x:c>
      <x:c r="C75" s="31">
        <x:v>150223.38</x:v>
      </x:c>
      <x:c r="D75" s="31">
        <x:v>8</x:v>
      </x:c>
      <x:c r="E75" s="32">
        <x:v>18.899999999999999</x:v>
      </x:c>
      <x:c r="F75" s="32">
        <x:v>115429.81</x:v>
      </x:c>
      <x:c r="G75" s="32">
        <x:v>24505.14</x:v>
      </x:c>
      <x:c r="H75" s="32">
        <x:v>34205</x:v>
      </x:c>
      <x:c r="I75" s="32">
        <x:v>32934</x:v>
      </x:c>
      <x:c r="J75" s="32">
        <x:v>26020</x:v>
      </x:c>
      <x:c r="K75" s="32">
        <x:v>0</x:v>
      </x:c>
      <x:c r="L75" s="32">
        <x:v>0</x:v>
      </x:c>
      <x:c r="M75" s="32">
        <x:v>0</x:v>
      </x:c>
      <x:c r="N75" s="32">
        <x:v>49033.55</x:v>
      </x:c>
    </x:row>
    <x:row r="76">
      <x:c r="A76" s="16">
        <x:v>42369</x:v>
      </x:c>
      <x:c r="B76" s="31">
        <x:v>152217</x:v>
      </x:c>
      <x:c r="C76" s="31">
        <x:v>175768</x:v>
      </x:c>
      <x:c r="D76" s="31">
        <x:v>8.4</x:v>
      </x:c>
      <x:c r="E76" s="32">
        <x:v>15.8</x:v>
      </x:c>
      <x:c r="F76" s="32">
        <x:v>124892</x:v>
      </x:c>
      <x:c r="G76" s="32">
        <x:v>27325</x:v>
      </x:c>
      <x:c r="H76" s="32">
        <x:v>42330</x:v>
      </x:c>
      <x:c r="I76" s="32">
        <x:v>42364</x:v>
      </x:c>
      <x:c r="J76" s="32">
        <x:v>32547</x:v>
      </x:c>
      <x:c r="K76" s="32">
        <x:v>0</x:v>
      </x:c>
      <x:c r="L76" s="32">
        <x:v>0</x:v>
      </x:c>
      <x:c r="M76" s="32">
        <x:v>0</x:v>
      </x:c>
      <x:c r="N76" s="32">
        <x:v>34452.89</x:v>
      </x:c>
    </x:row>
    <x:row r="77">
      <x:c r="A77" s="16">
        <x:v>42400</x:v>
      </x:c>
      <x:c r="B77" s="31">
        <x:v>17166.330000000002</x:v>
      </x:c>
      <x:c r="C77" s="31">
        <x:v>10134.120000000001</x:v>
      </x:c>
      <x:c r="D77" s="31">
        <x:v>5.8</x:v>
      </x:c>
      <x:c r="E77" s="32">
        <x:v>24.3</x:v>
      </x:c>
      <x:c r="F77" s="32">
        <x:v>15107.74</x:v>
      </x:c>
      <x:c r="G77" s="32">
        <x:v>2058.59</x:v>
      </x:c>
      <x:c r="H77" s="32">
        <x:v>0</x:v>
      </x:c>
      <x:c r="I77" s="32">
        <x:v>0</x:v>
      </x:c>
      <x:c r="J77" s="32">
        <x:v>0</x:v>
      </x:c>
      <x:c r="K77" s="32">
        <x:v>0</x:v>
      </x:c>
      <x:c r="L77" s="32">
        <x:v>0</x:v>
      </x:c>
      <x:c r="M77" s="32">
        <x:v>0</x:v>
      </x:c>
      <x:c r="N77" s="32">
        <x:v>39606.53</x:v>
      </x:c>
    </x:row>
    <x:row r="78">
      <x:c r="A78" s="16">
        <x:v>42429</x:v>
      </x:c>
      <x:c r="B78" s="31">
        <x:v>27384.84</x:v>
      </x:c>
      <x:c r="C78" s="31">
        <x:v>21170.27</x:v>
      </x:c>
      <x:c r="D78" s="31">
        <x:v>6.3</x:v>
      </x:c>
      <x:c r="E78" s="32">
        <x:v>12</x:v>
      </x:c>
      <x:c r="F78" s="32">
        <x:v>23867.27</x:v>
      </x:c>
      <x:c r="G78" s="32">
        <x:v>3517.57</x:v>
      </x:c>
      <x:c r="H78" s="32">
        <x:v>5698</x:v>
      </x:c>
      <x:c r="I78" s="32">
        <x:v>3477</x:v>
      </x:c>
      <x:c r="J78" s="32">
        <x:v>4553</x:v>
      </x:c>
      <x:c r="K78" s="32">
        <x:v>0</x:v>
      </x:c>
      <x:c r="L78" s="32">
        <x:v>0</x:v>
      </x:c>
      <x:c r="M78" s="32">
        <x:v>0</x:v>
      </x:c>
      <x:c r="N78" s="32">
        <x:v>37916.35</x:v>
      </x:c>
    </x:row>
    <x:row r="79">
      <x:c r="A79" s="16">
        <x:v>42460</x:v>
      </x:c>
      <x:c r="B79" s="31">
        <x:v>38896.04</x:v>
      </x:c>
      <x:c r="C79" s="31">
        <x:v>37958.31</x:v>
      </x:c>
      <x:c r="D79" s="31">
        <x:v>6.5</x:v>
      </x:c>
      <x:c r="E79" s="32">
        <x:v>15.4</x:v>
      </x:c>
      <x:c r="F79" s="32">
        <x:v>32953.89</x:v>
      </x:c>
      <x:c r="G79" s="32">
        <x:v>5942.15</x:v>
      </x:c>
      <x:c r="H79" s="32">
        <x:v>8997</x:v>
      </x:c>
      <x:c r="I79" s="32">
        <x:v>6823</x:v>
      </x:c>
      <x:c r="J79" s="32">
        <x:v>7300</x:v>
      </x:c>
      <x:c r="K79" s="32">
        <x:v>0</x:v>
      </x:c>
      <x:c r="L79" s="32">
        <x:v>0</x:v>
      </x:c>
      <x:c r="M79" s="32">
        <x:v>0</x:v>
      </x:c>
      <x:c r="N79" s="32">
        <x:v>36176.81</x:v>
      </x:c>
    </x:row>
    <x:row r="80">
      <x:c r="A80" s="16">
        <x:v>42490</x:v>
      </x:c>
      <x:c r="B80" s="31">
        <x:v>54418.96</x:v>
      </x:c>
      <x:c r="C80" s="31">
        <x:v>51067.63</x:v>
      </x:c>
      <x:c r="D80" s="31">
        <x:v>8.6</x:v>
      </x:c>
      <x:c r="E80" s="32">
        <x:v>12.4</x:v>
      </x:c>
      <x:c r="F80" s="32">
        <x:v>46735.61</x:v>
      </x:c>
      <x:c r="G80" s="32">
        <x:v>7683.35</x:v>
      </x:c>
      <x:c r="H80" s="32">
        <x:v>11846</x:v>
      </x:c>
      <x:c r="I80" s="32">
        <x:v>8921</x:v>
      </x:c>
      <x:c r="J80" s="32">
        <x:v>9536</x:v>
      </x:c>
      <x:c r="K80" s="32">
        <x:v>0</x:v>
      </x:c>
      <x:c r="L80" s="32">
        <x:v>0</x:v>
      </x:c>
      <x:c r="M80" s="32">
        <x:v>0</x:v>
      </x:c>
      <x:c r="N80" s="32">
        <x:v>45495.3</x:v>
      </x:c>
    </x:row>
    <x:row r="81">
      <x:c r="A81" s="16">
        <x:v>42521</x:v>
      </x:c>
      <x:c r="B81" s="31">
        <x:v>69879.77</x:v>
      </x:c>
      <x:c r="C81" s="31">
        <x:v>66528.14</x:v>
      </x:c>
      <x:c r="D81" s="31">
        <x:v>8.3000000000000007</x:v>
      </x:c>
      <x:c r="E81" s="32">
        <x:v>13.6</x:v>
      </x:c>
      <x:c r="F81" s="32">
        <x:v>59987.27</x:v>
      </x:c>
      <x:c r="G81" s="32">
        <x:v>9892.5</x:v>
      </x:c>
      <x:c r="H81" s="32">
        <x:v>14768</x:v>
      </x:c>
      <x:c r="I81" s="32">
        <x:v>11988</x:v>
      </x:c>
      <x:c r="J81" s="32">
        <x:v>11694</x:v>
      </x:c>
      <x:c r="K81" s="32">
        <x:v>0</x:v>
      </x:c>
      <x:c r="L81" s="32">
        <x:v>0</x:v>
      </x:c>
      <x:c r="M81" s="32">
        <x:v>0</x:v>
      </x:c>
      <x:c r="N81" s="32">
        <x:v>47114.71</x:v>
      </x:c>
    </x:row>
    <x:row r="82">
      <x:c r="A82" s="16">
        <x:v>42551</x:v>
      </x:c>
      <x:c r="B82" s="31">
        <x:v>85513.84</x:v>
      </x:c>
      <x:c r="C82" s="31">
        <x:v>89165.01</x:v>
      </x:c>
      <x:c r="D82" s="31">
        <x:v>7.1</x:v>
      </x:c>
      <x:c r="E82" s="32">
        <x:v>15.1</x:v>
      </x:c>
      <x:c r="F82" s="32">
        <x:v>72235.86</x:v>
      </x:c>
      <x:c r="G82" s="32">
        <x:v>13277.98</x:v>
      </x:c>
      <x:c r="H82" s="32">
        <x:v>18335</x:v>
      </x:c>
      <x:c r="I82" s="32">
        <x:v>16640</x:v>
      </x:c>
      <x:c r="J82" s="32">
        <x:v>14303</x:v>
      </x:c>
      <x:c r="K82" s="32">
        <x:v>0</x:v>
      </x:c>
      <x:c r="L82" s="32">
        <x:v>0</x:v>
      </x:c>
      <x:c r="M82" s="32">
        <x:v>0</x:v>
      </x:c>
      <x:c r="N82" s="32">
        <x:v>43819.21</x:v>
      </x:c>
    </x:row>
    <x:row r="83">
      <x:c r="A83" s="16">
        <x:v>42582</x:v>
      </x:c>
      <x:c r="B83" s="31">
        <x:v>100284</x:v>
      </x:c>
      <x:c r="C83" s="31">
        <x:v>101933.28</x:v>
      </x:c>
      <x:c r="D83" s="31">
        <x:v>6.5</x:v>
      </x:c>
      <x:c r="E83" s="32">
        <x:v>13</x:v>
      </x:c>
      <x:c r="F83" s="32">
        <x:v>84957.2</x:v>
      </x:c>
      <x:c r="G83" s="32">
        <x:v>15326.8</x:v>
      </x:c>
      <x:c r="H83" s="32">
        <x:v>21968</x:v>
      </x:c>
      <x:c r="I83" s="32">
        <x:v>19917</x:v>
      </x:c>
      <x:c r="J83" s="32">
        <x:v>17288</x:v>
      </x:c>
      <x:c r="K83" s="32">
        <x:v>0</x:v>
      </x:c>
      <x:c r="L83" s="32">
        <x:v>0</x:v>
      </x:c>
      <x:c r="M83" s="32">
        <x:v>0</x:v>
      </x:c>
      <x:c r="N83" s="32">
        <x:v>48700.97</x:v>
      </x:c>
    </x:row>
    <x:row r="84">
      <x:c r="A84" s="16">
        <x:v>42613</x:v>
      </x:c>
      <x:c r="B84" s="31">
        <x:v>110178.05</x:v>
      </x:c>
      <x:c r="C84" s="31">
        <x:v>116120.06</x:v>
      </x:c>
      <x:c r="D84" s="31">
        <x:v>6</x:v>
      </x:c>
      <x:c r="E84" s="32">
        <x:v>12.7</x:v>
      </x:c>
      <x:c r="F84" s="32">
        <x:v>92637.19</x:v>
      </x:c>
      <x:c r="G84" s="32">
        <x:v>17540.86</x:v>
      </x:c>
      <x:c r="H84" s="32">
        <x:v>25478</x:v>
      </x:c>
      <x:c r="I84" s="32">
        <x:v>23671</x:v>
      </x:c>
      <x:c r="J84" s="32">
        <x:v>20057</x:v>
      </x:c>
      <x:c r="K84" s="32">
        <x:v>0</x:v>
      </x:c>
      <x:c r="L84" s="32">
        <x:v>0</x:v>
      </x:c>
      <x:c r="M84" s="32">
        <x:v>0</x:v>
      </x:c>
      <x:c r="N84" s="32">
        <x:v>46891.5</x:v>
      </x:c>
    </x:row>
    <x:row r="85">
      <x:c r="A85" s="16">
        <x:v>42643</x:v>
      </x:c>
      <x:c r="B85" s="31">
        <x:v>121399.95</x:v>
      </x:c>
      <x:c r="C85" s="31">
        <x:v>135956.23000000001</x:v>
      </x:c>
      <x:c r="D85" s="31">
        <x:v>5.9</x:v>
      </x:c>
      <x:c r="E85" s="32">
        <x:v>12.5</x:v>
      </x:c>
      <x:c r="F85" s="32">
        <x:v>100880.54</x:v>
      </x:c>
      <x:c r="G85" s="32">
        <x:v>20519.41</x:v>
      </x:c>
      <x:c r="H85" s="32">
        <x:v>29777</x:v>
      </x:c>
      <x:c r="I85" s="32">
        <x:v>28121</x:v>
      </x:c>
      <x:c r="J85" s="32">
        <x:v>23306</x:v>
      </x:c>
      <x:c r="K85" s="32">
        <x:v>0</x:v>
      </x:c>
      <x:c r="L85" s="32">
        <x:v>0</x:v>
      </x:c>
      <x:c r="M85" s="32">
        <x:v>0</x:v>
      </x:c>
      <x:c r="N85" s="32">
        <x:v>42906.06</x:v>
      </x:c>
    </x:row>
    <x:row r="86">
      <x:c r="A86" s="16">
        <x:v>42674</x:v>
      </x:c>
      <x:c r="B86" s="31">
        <x:v>136759.13</x:v>
      </x:c>
      <x:c r="C86" s="31">
        <x:v>147774.76999999999</x:v>
      </x:c>
      <x:c r="D86" s="31">
        <x:v>5.9</x:v>
      </x:c>
      <x:c r="E86" s="32">
        <x:v>10</x:v>
      </x:c>
      <x:c r="F86" s="32">
        <x:v>113771.5</x:v>
      </x:c>
      <x:c r="G86" s="32">
        <x:v>22987.63</x:v>
      </x:c>
      <x:c r="H86" s="32">
        <x:v>33685</x:v>
      </x:c>
      <x:c r="I86" s="32">
        <x:v>31207</x:v>
      </x:c>
      <x:c r="J86" s="32">
        <x:v>26546</x:v>
      </x:c>
      <x:c r="K86" s="32">
        <x:v>0</x:v>
      </x:c>
      <x:c r="L86" s="32">
        <x:v>0</x:v>
      </x:c>
      <x:c r="M86" s="32">
        <x:v>0</x:v>
      </x:c>
      <x:c r="N86" s="32">
        <x:v>49726.71</x:v>
      </x:c>
    </x:row>
    <x:row r="87">
      <x:c r="A87" s="16">
        <x:v>42704</x:v>
      </x:c>
      <x:c r="B87" s="31">
        <x:v>148250.25</x:v>
      </x:c>
      <x:c r="C87" s="31">
        <x:v>165838.64000000001</x:v>
      </x:c>
      <x:c r="D87" s="31">
        <x:v>5.7</x:v>
      </x:c>
      <x:c r="E87" s="32">
        <x:v>10.199999999999999</x:v>
      </x:c>
      <x:c r="F87" s="32">
        <x:v>122325.87</x:v>
      </x:c>
      <x:c r="G87" s="32">
        <x:v>25924.38</x:v>
      </x:c>
      <x:c r="H87" s="32">
        <x:v>38850</x:v>
      </x:c>
      <x:c r="I87" s="32">
        <x:v>35994</x:v>
      </x:c>
      <x:c r="J87" s="32">
        <x:v>30979</x:v>
      </x:c>
      <x:c r="K87" s="32">
        <x:v>0</x:v>
      </x:c>
      <x:c r="L87" s="32">
        <x:v>0</x:v>
      </x:c>
      <x:c r="M87" s="32">
        <x:v>0</x:v>
      </x:c>
      <x:c r="N87" s="32">
        <x:v>46850.86</x:v>
      </x:c>
    </x:row>
    <x:row r="88">
      <x:c r="A88" s="16">
        <x:v>42735</x:v>
      </x:c>
      <x:c r="B88" s="31">
        <x:v>159552</x:v>
      </x:c>
      <x:c r="C88" s="31">
        <x:v>187841</x:v>
      </x:c>
      <x:c r="D88" s="31">
        <x:v>4.5</x:v>
      </x:c>
      <x:c r="E88" s="32">
        <x:v>6.4</x:v>
      </x:c>
      <x:c r="F88" s="32">
        <x:v>130354</x:v>
      </x:c>
      <x:c r="G88" s="32">
        <x:v>29198</x:v>
      </x:c>
      <x:c r="H88" s="32">
        <x:v>46619</x:v>
      </x:c>
      <x:c r="I88" s="32">
        <x:v>46852</x:v>
      </x:c>
      <x:c r="J88" s="32">
        <x:v>37457</x:v>
      </x:c>
      <x:c r="K88" s="32">
        <x:v>0</x:v>
      </x:c>
      <x:c r="L88" s="32">
        <x:v>0</x:v>
      </x:c>
      <x:c r="M88" s="32">
        <x:v>0</x:v>
      </x:c>
      <x:c r="N88" s="32">
        <x:v>35292.31</x:v>
      </x:c>
    </x:row>
    <x:row r="89">
      <x:c r="A89" s="16">
        <x:v>42766</x:v>
      </x:c>
      <x:c r="B89" s="31">
        <x:v>20208.09</x:v>
      </x:c>
      <x:c r="C89" s="31">
        <x:v>13935.36</x:v>
      </x:c>
      <x:c r="D89" s="31">
        <x:v>17.7</x:v>
      </x:c>
      <x:c r="E89" s="32">
        <x:v>37.5</x:v>
      </x:c>
      <x:c r="F89" s="32">
        <x:v>18118.96</x:v>
      </x:c>
      <x:c r="G89" s="32">
        <x:v>2089.13</x:v>
      </x:c>
      <x:c r="H89" s="32">
        <x:v>0</x:v>
      </x:c>
      <x:c r="I89" s="32">
        <x:v>0</x:v>
      </x:c>
      <x:c r="J89" s="32">
        <x:v>0</x:v>
      </x:c>
      <x:c r="K89" s="32">
        <x:v>0</x:v>
      </x:c>
      <x:c r="L89" s="32">
        <x:v>0</x:v>
      </x:c>
      <x:c r="M89" s="32">
        <x:v>0</x:v>
      </x:c>
      <x:c r="N89" s="32">
        <x:v>39574.04</x:v>
      </x:c>
    </x:row>
    <x:row r="90">
      <x:c r="A90" s="16">
        <x:v>42794</x:v>
      </x:c>
      <x:c r="B90" s="31">
        <x:v>31453.5</x:v>
      </x:c>
      <x:c r="C90" s="31">
        <x:v>24859.68</x:v>
      </x:c>
      <x:c r="D90" s="31">
        <x:v>14.9</x:v>
      </x:c>
      <x:c r="E90" s="32">
        <x:v>17.399999999999999</x:v>
      </x:c>
      <x:c r="F90" s="32">
        <x:v>27832.57</x:v>
      </x:c>
      <x:c r="G90" s="32">
        <x:v>3620.93</x:v>
      </x:c>
      <x:c r="H90" s="32">
        <x:v>7364</x:v>
      </x:c>
      <x:c r="I90" s="32">
        <x:v>4298</x:v>
      </x:c>
      <x:c r="J90" s="32">
        <x:v>6196</x:v>
      </x:c>
      <x:c r="K90" s="32">
        <x:v>0</x:v>
      </x:c>
      <x:c r="L90" s="32">
        <x:v>0</x:v>
      </x:c>
      <x:c r="M90" s="32">
        <x:v>0</x:v>
      </x:c>
      <x:c r="N90" s="32">
        <x:v>41476.980000000003</x:v>
      </x:c>
    </x:row>
    <x:row r="91">
      <x:c r="A91" s="16">
        <x:v>42825</x:v>
      </x:c>
      <x:c r="B91" s="31">
        <x:v>44365.98</x:v>
      </x:c>
      <x:c r="C91" s="31">
        <x:v>45917.16</x:v>
      </x:c>
      <x:c r="D91" s="31">
        <x:v>14.1</x:v>
      </x:c>
      <x:c r="E91" s="32">
        <x:v>21</x:v>
      </x:c>
      <x:c r="F91" s="32">
        <x:v>37793.46</x:v>
      </x:c>
      <x:c r="G91" s="32">
        <x:v>6572.52</x:v>
      </x:c>
      <x:c r="H91" s="32">
        <x:v>11473</x:v>
      </x:c>
      <x:c r="I91" s="32">
        <x:v>8090</x:v>
      </x:c>
      <x:c r="J91" s="32">
        <x:v>9486</x:v>
      </x:c>
      <x:c r="K91" s="32">
        <x:v>0</x:v>
      </x:c>
      <x:c r="L91" s="32">
        <x:v>0</x:v>
      </x:c>
      <x:c r="M91" s="32">
        <x:v>0</x:v>
      </x:c>
      <x:c r="N91" s="32">
        <x:v>33807.31</x:v>
      </x:c>
    </x:row>
    <x:row r="92">
      <x:c r="A92" s="16">
        <x:v>42855</x:v>
      </x:c>
      <x:c r="B92" s="31">
        <x:v>61150.2</x:v>
      </x:c>
      <x:c r="C92" s="31">
        <x:v>59552.68</x:v>
      </x:c>
      <x:c r="D92" s="31">
        <x:v>11.8</x:v>
      </x:c>
      <x:c r="E92" s="32">
        <x:v>16.3</x:v>
      </x:c>
      <x:c r="F92" s="32">
        <x:v>52251.7</x:v>
      </x:c>
      <x:c r="G92" s="32">
        <x:v>8898.48</x:v>
      </x:c>
      <x:c r="H92" s="32">
        <x:v>15382</x:v>
      </x:c>
      <x:c r="I92" s="32">
        <x:v>10888</x:v>
      </x:c>
      <x:c r="J92" s="32">
        <x:v>12767</x:v>
      </x:c>
      <x:c r="K92" s="32">
        <x:v>0</x:v>
      </x:c>
      <x:c r="L92" s="32">
        <x:v>0</x:v>
      </x:c>
      <x:c r="M92" s="32">
        <x:v>0</x:v>
      </x:c>
      <x:c r="N92" s="32">
        <x:v>40232.47</x:v>
      </x:c>
    </x:row>
    <x:row r="93">
      <x:c r="A93" s="16">
        <x:v>42886</x:v>
      </x:c>
      <x:c r="B93" s="31">
        <x:v>77223.58</x:v>
      </x:c>
      <x:c r="C93" s="31">
        <x:v>76467.429999999993</x:v>
      </x:c>
      <x:c r="D93" s="31">
        <x:v>10.034800000000001</x:v>
      </x:c>
      <x:c r="E93" s="32">
        <x:v>14.6797</x:v>
      </x:c>
      <x:c r="F93" s="32">
        <x:v>66353.919999999998</x:v>
      </x:c>
      <x:c r="G93" s="32">
        <x:v>10869.66</x:v>
      </x:c>
      <x:c r="H93" s="32">
        <x:v>18512</x:v>
      </x:c>
      <x:c r="I93" s="32">
        <x:v>14391</x:v>
      </x:c>
      <x:c r="J93" s="32">
        <x:v>15251</x:v>
      </x:c>
      <x:c r="K93" s="32">
        <x:v>0</x:v>
      </x:c>
      <x:c r="L93" s="32">
        <x:v>0</x:v>
      </x:c>
      <x:c r="M93" s="32">
        <x:v>0</x:v>
      </x:c>
      <x:c r="N93" s="32">
        <x:v>45779.76</x:v>
      </x:c>
    </x:row>
    <x:row r="94">
      <x:c r="A94" s="34">
        <x:v>42916</x:v>
      </x:c>
      <x:c r="B94" s="33">
        <x:v>94305.95</x:v>
      </x:c>
      <x:c r="C94" s="33">
        <x:v>103483.34</x:v>
      </x:c>
      <x:c r="D94" s="33">
        <x:v>9.8201000000000001</x:v>
      </x:c>
      <x:c r="E94" s="33">
        <x:v>15.796900000000001</x:v>
      </x:c>
      <x:c r="F94" s="33">
        <x:v>80073.95</x:v>
      </x:c>
      <x:c r="G94" s="33">
        <x:v>14232</x:v>
      </x:c>
      <x:c r="H94" s="33">
        <x:v>22969</x:v>
      </x:c>
      <x:c r="I94" s="33">
        <x:v>20491</x:v>
      </x:c>
      <x:c r="J94" s="33">
        <x:v>18836</x:v>
      </x:c>
      <x:c r="K94" s="33">
        <x:v>0</x:v>
      </x:c>
      <x:c r="L94" s="33">
        <x:v>0</x:v>
      </x:c>
      <x:c r="M94" s="33">
        <x:v>0</x:v>
      </x:c>
      <x:c r="N94" s="33">
        <x:v>39614.92</x:v>
      </x:c>
    </x:row>
    <x:row r="95">
      <x:c r="A95" s="34">
        <x:v>42947</x:v>
      </x:c>
      <x:c r="B95" s="33">
        <x:v>110762.46</x:v>
      </x:c>
      <x:c r="C95" s="33">
        <x:v>116979.38</x:v>
      </x:c>
      <x:c r="D95" s="33">
        <x:v>10.011200000000001</x:v>
      </x:c>
      <x:c r="E95" s="33">
        <x:v>14.498799999999999</x:v>
      </x:c>
      <x:c r="F95" s="33">
        <x:v>94503.12</x:v>
      </x:c>
      <x:c r="G95" s="33">
        <x:v>16259.34</x:v>
      </x:c>
      <x:c r="H95" s="33">
        <x:v>28395</x:v>
      </x:c>
      <x:c r="I95" s="33">
        <x:v>24943</x:v>
      </x:c>
      <x:c r="J95" s="33">
        <x:v>23357</x:v>
      </x:c>
      <x:c r="K95" s="33">
        <x:v>0</x:v>
      </x:c>
      <x:c r="L95" s="33">
        <x:v>0</x:v>
      </x:c>
      <x:c r="M95" s="33">
        <x:v>0</x:v>
      </x:c>
      <x:c r="N95" s="33">
        <x:v>51223.82</x:v>
      </x:c>
    </x:row>
    <x:row r="96">
      <x:c r="A96" s="34">
        <x:v>42978</x:v>
      </x:c>
      <x:c r="B96" s="33">
        <x:v>121414.94</x:v>
      </x:c>
      <x:c r="C96" s="33">
        <x:v>131626.66</x:v>
      </x:c>
      <x:c r="D96" s="33">
        <x:v>9.7624999999999993</x:v>
      </x:c>
      <x:c r="E96" s="33">
        <x:v>13.077400000000001</x:v>
      </x:c>
      <x:c r="F96" s="33">
        <x:v>103410.09</x:v>
      </x:c>
      <x:c r="G96" s="33">
        <x:v>18004.849999999999</x:v>
      </x:c>
      <x:c r="H96" s="33">
        <x:v>32867</x:v>
      </x:c>
      <x:c r="I96" s="33">
        <x:v>30268</x:v>
      </x:c>
      <x:c r="J96" s="33">
        <x:v>27134</x:v>
      </x:c>
      <x:c r="K96" s="33">
        <x:v>0</x:v>
      </x:c>
      <x:c r="L96" s="33">
        <x:v>0</x:v>
      </x:c>
      <x:c r="M96" s="33">
        <x:v>0</x:v>
      </x:c>
      <x:c r="N96" s="33">
        <x:v>47323.45</x:v>
      </x:c>
    </x:row>
    <x:row r="97">
      <x:c r="A97" s="34">
        <x:v>43008</x:v>
      </x:c>
      <x:c r="B97" s="33">
        <x:v>134128.9</x:v>
      </x:c>
      <x:c r="C97" s="33">
        <x:v>151873.06</x:v>
      </x:c>
      <x:c r="D97" s="33">
        <x:v>9.7119</x:v>
      </x:c>
      <x:c r="E97" s="33">
        <x:v>11.4137</x:v>
      </x:c>
      <x:c r="F97" s="33">
        <x:v>113100.95</x:v>
      </x:c>
      <x:c r="G97" s="33">
        <x:v>21027.95</x:v>
      </x:c>
      <x:c r="H97" s="33">
        <x:v>38545</x:v>
      </x:c>
      <x:c r="I97" s="33">
        <x:v>36488</x:v>
      </x:c>
      <x:c r="J97" s="33">
        <x:v>32031</x:v>
      </x:c>
      <x:c r="K97" s="33">
        <x:v>0</x:v>
      </x:c>
      <x:c r="L97" s="33">
        <x:v>0</x:v>
      </x:c>
      <x:c r="M97" s="33">
        <x:v>0</x:v>
      </x:c>
      <x:c r="N97" s="33">
        <x:v>43342.43</x:v>
      </x:c>
    </x:row>
    <x:row r="98">
      <x:c r="A98" s="34">
        <x:v>43039</x:v>
      </x:c>
      <x:c r="B98" s="33">
        <x:v>150362.57</x:v>
      </x:c>
      <x:c r="C98" s="33">
        <x:v>162994.85</x:v>
      </x:c>
      <x:c r="D98" s="33">
        <x:v>9.2332000000000001</x:v>
      </x:c>
      <x:c r="E98" s="33">
        <x:v>9.8277999999999999</x:v>
      </x:c>
      <x:c r="F98" s="33">
        <x:v>127292.98</x:v>
      </x:c>
      <x:c r="G98" s="33">
        <x:v>23069.59</x:v>
      </x:c>
      <x:c r="H98" s="33">
        <x:v>43152</x:v>
      </x:c>
      <x:c r="I98" s="33">
        <x:v>40218</x:v>
      </x:c>
      <x:c r="J98" s="33">
        <x:v>35959</x:v>
      </x:c>
      <x:c r="K98" s="33">
        <x:v>0</x:v>
      </x:c>
      <x:c r="L98" s="33">
        <x:v>0</x:v>
      </x:c>
      <x:c r="M98" s="33">
        <x:v>0</x:v>
      </x:c>
      <x:c r="N98" s="33">
        <x:v>53838.74</x:v>
      </x:c>
    </x:row>
    <x:row r="99">
      <x:c r="A99" s="34">
        <x:v>43069</x:v>
      </x:c>
      <x:c r="B99" s="33">
        <x:v>161747.85999999999</x:v>
      </x:c>
      <x:c r="C99" s="33">
        <x:v>179560.43</x:v>
      </x:c>
      <x:c r="D99" s="33">
        <x:v>8.4</x:v>
      </x:c>
      <x:c r="E99" s="33">
        <x:v>7.8</x:v>
      </x:c>
      <x:c r="F99" s="33">
        <x:v>136072</x:v>
      </x:c>
      <x:c r="G99" s="33">
        <x:v>25675.86</x:v>
      </x:c>
      <x:c r="H99" s="33">
        <x:v>49307</x:v>
      </x:c>
      <x:c r="I99" s="33">
        <x:v>46188</x:v>
      </x:c>
      <x:c r="J99" s="33">
        <x:v>41390</x:v>
      </x:c>
      <x:c r="K99" s="33">
        <x:v>43258</x:v>
      </x:c>
      <x:c r="L99" s="33">
        <x:v>0</x:v>
      </x:c>
      <x:c r="M99" s="33">
        <x:v>165944</x:v>
      </x:c>
      <x:c r="N99" s="33">
        <x:v>53460.59</x:v>
      </x:c>
    </x:row>
    <x:row r="100">
      <x:c r="A100" s="34">
        <x:v>43100</x:v>
      </x:c>
      <x:c r="B100" s="33">
        <x:v>172567</x:v>
      </x:c>
      <x:c r="C100" s="33">
        <x:v>203330</x:v>
      </x:c>
      <x:c r="D100" s="33">
        <x:v>7.4</x:v>
      </x:c>
      <x:c r="E100" s="33">
        <x:v>7.7</x:v>
      </x:c>
      <x:c r="F100" s="33">
        <x:v>144360</x:v>
      </x:c>
      <x:c r="G100" s="33">
        <x:v>28207</x:v>
      </x:c>
      <x:c r="H100" s="33">
        <x:v>61462</x:v>
      </x:c>
      <x:c r="I100" s="33">
        <x:v>60700</x:v>
      </x:c>
      <x:c r="J100" s="33">
        <x:v>52059</x:v>
      </x:c>
      <x:c r="K100" s="33">
        <x:v>43581</x:v>
      </x:c>
      <x:c r="L100" s="33">
        <x:v>0</x:v>
      </x:c>
      <x:c r="M100" s="33">
        <x:v>164706</x:v>
      </x:c>
      <x:c r="N100" s="33">
        <x:v>41134.49</x:v>
      </x:c>
    </x:row>
    <x:row r="101">
      <x:c r="A101" s="34">
        <x:v>43131</x:v>
      </x:c>
      <x:c r="B101" s="33">
        <x:v>23621.08</x:v>
      </x:c>
      <x:c r="C101" s="33">
        <x:v>12927.57</x:v>
      </x:c>
      <x:c r="D101" s="33">
        <x:v>16.487100000000002</x:v>
      </x:c>
      <x:c r="E101" s="33">
        <x:v>-7.4212999999999996</x:v>
      </x:c>
      <x:c r="F101" s="33">
        <x:v>21476.44</x:v>
      </x:c>
      <x:c r="G101" s="33">
        <x:v>2144.64</x:v>
      </x:c>
      <x:c r="H101" s="33">
        <x:v>0</x:v>
      </x:c>
      <x:c r="I101" s="33">
        <x:v>0</x:v>
      </x:c>
      <x:c r="J101" s="33">
        <x:v>0</x:v>
      </x:c>
      <x:c r="K101" s="33">
        <x:v>0</x:v>
      </x:c>
      <x:c r="L101" s="33">
        <x:v>0</x:v>
      </x:c>
      <x:c r="M101" s="33">
        <x:v>0</x:v>
      </x:c>
      <x:c r="N101" s="33">
        <x:v>50944.5</x:v>
      </x:c>
    </x:row>
    <x:row r="102">
      <x:c r="A102" s="34">
        <x:v>43159</x:v>
      </x:c>
      <x:c r="B102" s="33">
        <x:v>36553.410000000003</x:v>
      </x:c>
      <x:c r="C102" s="33">
        <x:v>29061.84</x:v>
      </x:c>
      <x:c r="D102" s="33">
        <x:v>15.805300000000001</x:v>
      </x:c>
      <x:c r="E102" s="33">
        <x:v>16.7318</x:v>
      </x:c>
      <x:c r="F102" s="33">
        <x:v>32951.839999999997</x:v>
      </x:c>
      <x:c r="G102" s="33">
        <x:v>3601.57</x:v>
      </x:c>
      <x:c r="H102" s="33">
        <x:v>9671</x:v>
      </x:c>
      <x:c r="I102" s="33">
        <x:v>6828</x:v>
      </x:c>
      <x:c r="J102" s="33">
        <x:v>8499</x:v>
      </x:c>
      <x:c r="K102" s="33">
        <x:v>0</x:v>
      </x:c>
      <x:c r="L102" s="33">
        <x:v>0</x:v>
      </x:c>
      <x:c r="M102" s="33">
        <x:v>0</x:v>
      </x:c>
      <x:c r="N102" s="33">
        <x:v>45657.55</x:v>
      </x:c>
    </x:row>
    <x:row r="103">
      <x:c r="A103" s="34">
        <x:v>43190</x:v>
      </x:c>
      <x:c r="B103" s="33">
        <x:v>50546.41</x:v>
      </x:c>
      <x:c r="C103" s="33">
        <x:v>50996.99</x:v>
      </x:c>
      <x:c r="D103" s="33">
        <x:v>13.5646</x:v>
      </x:c>
      <x:c r="E103" s="33">
        <x:v>10.934699999999999</x:v>
      </x:c>
      <x:c r="F103" s="33">
        <x:v>44331.62</x:v>
      </x:c>
      <x:c r="G103" s="33">
        <x:v>6214.79</x:v>
      </x:c>
      <x:c r="H103" s="33">
        <x:v>15253</x:v>
      </x:c>
      <x:c r="I103" s="33">
        <x:v>12111</x:v>
      </x:c>
      <x:c r="J103" s="33">
        <x:v>13327</x:v>
      </x:c>
      <x:c r="K103" s="33">
        <x:v>2195</x:v>
      </x:c>
      <x:c r="L103" s="33">
        <x:v>0</x:v>
      </x:c>
      <x:c r="M103" s="33">
        <x:v>166101</x:v>
      </x:c>
      <x:c r="N103" s="33">
        <x:v>40854.699999999997</x:v>
      </x:c>
    </x:row>
    <x:row r="104">
      <x:c r="A104" s="34">
        <x:v>43220</x:v>
      </x:c>
      <x:c r="B104" s="33">
        <x:v>69019.34</x:v>
      </x:c>
      <x:c r="C104" s="33">
        <x:v>65692.55</x:v>
      </x:c>
      <x:c r="D104" s="33">
        <x:v>12.857699999999999</x:v>
      </x:c>
      <x:c r="E104" s="33">
        <x:v>10.300700000000001</x:v>
      </x:c>
      <x:c r="F104" s="33">
        <x:v>60898.26</x:v>
      </x:c>
      <x:c r="G104" s="33">
        <x:v>8121.08</x:v>
      </x:c>
      <x:c r="H104" s="33">
        <x:v>20559</x:v>
      </x:c>
      <x:c r="I104" s="33">
        <x:v>16207</x:v>
      </x:c>
      <x:c r="J104" s="33">
        <x:v>17958</x:v>
      </x:c>
      <x:c r="K104" s="33">
        <x:v>5213</x:v>
      </x:c>
      <x:c r="L104" s="33">
        <x:v>0</x:v>
      </x:c>
      <x:c r="M104" s="33">
        <x:v>166101</x:v>
      </x:c>
      <x:c r="N104" s="33">
        <x:v>48039.15</x:v>
      </x:c>
    </x:row>
    <x:row r="105">
      <x:c r="A105" s="34">
        <x:v>43251</x:v>
      </x:c>
      <x:c r="B105" s="33">
        <x:v>86650.46</x:v>
      </x:c>
      <x:c r="C105" s="33">
        <x:v>82695.22</x:v>
      </x:c>
      <x:c r="D105" s="33">
        <x:v>12.1996</x:v>
      </x:c>
      <x:c r="E105" s="33">
        <x:v>8.1437000000000008</x:v>
      </x:c>
      <x:c r="F105" s="33">
        <x:v>76810.17</x:v>
      </x:c>
      <x:c r="G105" s="33">
        <x:v>9840.2900000000009</x:v>
      </x:c>
      <x:c r="H105" s="33">
        <x:v>25722</x:v>
      </x:c>
      <x:c r="I105" s="33">
        <x:v>20983</x:v>
      </x:c>
      <x:c r="J105" s="33">
        <x:v>22251</x:v>
      </x:c>
      <x:c r="K105" s="33">
        <x:v>8766</x:v>
      </x:c>
      <x:c r="L105" s="33">
        <x:v>0</x:v>
      </x:c>
      <x:c r="M105" s="33">
        <x:v>166272</x:v>
      </x:c>
      <x:c r="N105" s="33">
        <x:v>51900.74</x:v>
      </x:c>
    </x:row>
    <x:row r="106">
      <x:c r="A106" s="34">
        <x:v>43281</x:v>
      </x:c>
      <x:c r="B106" s="33">
        <x:v>104330.68</x:v>
      </x:c>
      <x:c r="C106" s="33">
        <x:v>111592.11</x:v>
      </x:c>
      <x:c r="D106" s="33">
        <x:v>10.623799999999999</x:v>
      </x:c>
      <x:c r="E106" s="33">
        <x:v>7.8354999999999997</x:v>
      </x:c>
      <x:c r="F106" s="33">
        <x:v>91628.51</x:v>
      </x:c>
      <x:c r="G106" s="33">
        <x:v>12702.17</x:v>
      </x:c>
      <x:c r="H106" s="33">
        <x:v>31237</x:v>
      </x:c>
      <x:c r="I106" s="33">
        <x:v>28130</x:v>
      </x:c>
      <x:c r="J106" s="33">
        <x:v>26941</x:v>
      </x:c>
      <x:c r="K106" s="33">
        <x:v>14109</x:v>
      </x:c>
      <x:c r="L106" s="33">
        <x:v>0</x:v>
      </x:c>
      <x:c r="M106" s="33">
        <x:v>167997</x:v>
      </x:c>
      <x:c r="N106" s="33">
        <x:v>45013.01</x:v>
      </x:c>
    </x:row>
    <x:row r="107">
      <x:c r="A107" s="34">
        <x:v>43312</x:v>
      </x:c>
      <x:c r="B107" s="33">
        <x:v>121791.35</x:v>
      </x:c>
      <x:c r="C107" s="33">
        <x:v>125536.5</x:v>
      </x:c>
      <x:c r="D107" s="33">
        <x:v>10</x:v>
      </x:c>
      <x:c r="E107" s="33">
        <x:v>7.3</x:v>
      </x:c>
      <x:c r="F107" s="33">
        <x:v>107709.18</x:v>
      </x:c>
      <x:c r="G107" s="33">
        <x:v>14082.2</x:v>
      </x:c>
      <x:c r="H107" s="33">
        <x:v>36680</x:v>
      </x:c>
      <x:c r="I107" s="33">
        <x:v>33223</x:v>
      </x:c>
      <x:c r="J107" s="33">
        <x:v>31548</x:v>
      </x:c>
      <x:c r="K107" s="33">
        <x:v>21679</x:v>
      </x:c>
      <x:c r="L107" s="33">
        <x:v>0</x:v>
      </x:c>
      <x:c r="M107" s="33">
        <x:v>171557</x:v>
      </x:c>
      <x:c r="N107" s="33">
        <x:v>54357.91</x:v>
      </x:c>
    </x:row>
    <x:row r="108">
      <x:c r="A108" s="34">
        <x:v>43343</x:v>
      </x:c>
      <x:c r="B108" s="33">
        <x:v>132868.20000000001</x:v>
      </x:c>
      <x:c r="C108" s="33">
        <x:v>140673.5</x:v>
      </x:c>
      <x:c r="D108" s="33">
        <x:v>9.4</x:v>
      </x:c>
      <x:c r="E108" s="33">
        <x:v>6.8727999999999998</x:v>
      </x:c>
      <x:c r="F108" s="33">
        <x:v>117216.9</x:v>
      </x:c>
      <x:c r="G108" s="33">
        <x:v>15651.3</x:v>
      </x:c>
      <x:c r="H108" s="33">
        <x:v>43228</x:v>
      </x:c>
      <x:c r="I108" s="33">
        <x:v>40320</x:v>
      </x:c>
      <x:c r="J108" s="33">
        <x:v>37009</x:v>
      </x:c>
      <x:c r="K108" s="33">
        <x:v>30508</x:v>
      </x:c>
      <x:c r="L108" s="33">
        <x:v>0</x:v>
      </x:c>
      <x:c r="M108" s="33">
        <x:v>176684</x:v>
      </x:c>
      <x:c r="N108" s="33">
        <x:v>55207.76</x:v>
      </x:c>
    </x:row>
    <x:row r="109">
      <x:c r="A109" s="34">
        <x:v>43373</x:v>
      </x:c>
      <x:c r="B109" s="33">
        <x:v>145831.32</x:v>
      </x:c>
      <x:c r="C109" s="33">
        <x:v>163289.49</x:v>
      </x:c>
      <x:c r="D109" s="33">
        <x:v>8.7248000000000001</x:v>
      </x:c>
      <x:c r="E109" s="33">
        <x:v>7.5170000000000003</x:v>
      </x:c>
      <x:c r="F109" s="33">
        <x:v>127486.04</x:v>
      </x:c>
      <x:c r="G109" s="33">
        <x:v>18345.28</x:v>
      </x:c>
      <x:c r="H109" s="33">
        <x:v>49348</x:v>
      </x:c>
      <x:c r="I109" s="33">
        <x:v>49728</x:v>
      </x:c>
      <x:c r="J109" s="33">
        <x:v>42298</x:v>
      </x:c>
      <x:c r="K109" s="33">
        <x:v>37994</x:v>
      </x:c>
      <x:c r="L109" s="33">
        <x:v>0</x:v>
      </x:c>
      <x:c r="M109" s="33">
        <x:v>182592</x:v>
      </x:c>
      <x:c r="N109" s="33">
        <x:v>51782.97</x:v>
      </x:c>
    </x:row>
    <x:row r="110">
      <x:c r="A110" s="34">
        <x:v>43404</x:v>
      </x:c>
      <x:c r="B110" s="33">
        <x:v>161557.93</x:v>
      </x:c>
      <x:c r="C110" s="33">
        <x:v>175320.3</x:v>
      </x:c>
      <x:c r="D110" s="33">
        <x:v>7.4455999999999998</x:v>
      </x:c>
      <x:c r="E110" s="33">
        <x:v>7.5617999999999999</x:v>
      </x:c>
      <x:c r="F110" s="33">
        <x:v>140949.81</x:v>
      </x:c>
      <x:c r="G110" s="33">
        <x:v>20608.12</x:v>
      </x:c>
      <x:c r="H110" s="33">
        <x:v>55399</x:v>
      </x:c>
      <x:c r="I110" s="33">
        <x:v>55979</x:v>
      </x:c>
      <x:c r="J110" s="33">
        <x:v>47519</x:v>
      </x:c>
      <x:c r="K110" s="33">
        <x:v>40554</x:v>
      </x:c>
      <x:c r="L110" s="33">
        <x:v>0</x:v>
      </x:c>
      <x:c r="M110" s="33">
        <x:v>184043</x:v>
      </x:c>
      <x:c r="N110" s="33">
        <x:v>57602.14</x:v>
      </x:c>
    </x:row>
    <x:row r="111">
      <x:c r="A111" s="34">
        <x:v>43434</x:v>
      </x:c>
      <x:c r="B111" s="33">
        <x:v>172332.68</x:v>
      </x:c>
      <x:c r="C111" s="33">
        <x:v>191750.87</x:v>
      </x:c>
      <x:c r="D111" s="33">
        <x:v>6.5</x:v>
      </x:c>
      <x:c r="E111" s="33">
        <x:v>6.8</x:v>
      </x:c>
      <x:c r="F111" s="33">
        <x:v>149000.74</x:v>
      </x:c>
      <x:c r="G111" s="33">
        <x:v>23331.94</x:v>
      </x:c>
      <x:c r="H111" s="33">
        <x:v>62151</x:v>
      </x:c>
      <x:c r="I111" s="33">
        <x:v>63825</x:v>
      </x:c>
      <x:c r="J111" s="33">
        <x:v>53362</x:v>
      </x:c>
      <x:c r="K111" s="33">
        <x:v>41014</x:v>
      </x:c>
      <x:c r="L111" s="33">
        <x:v>0</x:v>
      </x:c>
      <x:c r="M111" s="33">
        <x:v>182903</x:v>
      </x:c>
      <x:c r="N111" s="33">
        <x:v>50959.48</x:v>
      </x:c>
    </x:row>
    <x:row r="112">
      <x:c r="A112" s="34">
        <x:v>43465</x:v>
      </x:c>
      <x:c r="B112" s="33">
        <x:v>183352</x:v>
      </x:c>
      <x:c r="C112" s="33">
        <x:v>220906</x:v>
      </x:c>
      <x:c r="D112" s="33">
        <x:v>6.2</x:v>
      </x:c>
      <x:c r="E112" s="33">
        <x:v>8.6999999999999993</x:v>
      </x:c>
      <x:c r="F112" s="33">
        <x:v>156401</x:v>
      </x:c>
      <x:c r="G112" s="33">
        <x:v>26951</x:v>
      </x:c>
      <x:c r="H112" s="33">
        <x:v>75405</x:v>
      </x:c>
      <x:c r="I112" s="33">
        <x:v>80562</x:v>
      </x:c>
      <x:c r="J112" s="33">
        <x:v>65096</x:v>
      </x:c>
      <x:c r="K112" s="33">
        <x:v>41652</x:v>
      </x:c>
      <x:c r="L112" s="33">
        <x:v>0</x:v>
      </x:c>
      <x:c r="M112" s="33">
        <x:v>183862</x:v>
      </x:c>
      <x:c r="N112" s="33">
        <x:v>40538.800000000003</x:v>
      </x:c>
    </x:row>
    <x:row r="113">
      <x:c r="A113" s="34">
        <x:v>43496</x:v>
      </x:c>
      <x:c r="B113" s="33">
        <x:v>0</x:v>
      </x:c>
      <x:c r="C113" s="33">
        <x:v>0</x:v>
      </x:c>
      <x:c r="D113" s="33">
        <x:v>0</x:v>
      </x:c>
      <x:c r="E113" s="33">
        <x:v>0</x:v>
      </x:c>
      <x:c r="F113" s="33">
        <x:v>0</x:v>
      </x:c>
      <x:c r="G113" s="33">
        <x:v>0</x:v>
      </x:c>
      <x:c r="H113" s="33">
        <x:v>0</x:v>
      </x:c>
      <x:c r="I113" s="33">
        <x:v>0</x:v>
      </x:c>
      <x:c r="J113" s="33">
        <x:v>0</x:v>
      </x:c>
      <x:c r="K113" s="33">
        <x:v>4180</x:v>
      </x:c>
      <x:c r="L113" s="33">
        <x:v>0</x:v>
      </x:c>
      <x:c r="M113" s="33">
        <x:v>188041</x:v>
      </x:c>
      <x:c r="N113" s="33">
        <x:v>45875.44</x:v>
      </x:c>
    </x:row>
    <x:row r="114">
      <x:c r="A114" s="34">
        <x:v>43524</x:v>
      </x:c>
      <x:c r="B114" s="33">
        <x:v>39104</x:v>
      </x:c>
      <x:c r="C114" s="33">
        <x:v>33314</x:v>
      </x:c>
      <x:c r="D114" s="33">
        <x:v>7</x:v>
      </x:c>
      <x:c r="E114" s="33">
        <x:v>14.6</x:v>
      </x:c>
      <x:c r="F114" s="33">
        <x:v>35114</x:v>
      </x:c>
      <x:c r="G114" s="33">
        <x:v>3990</x:v>
      </x:c>
      <x:c r="H114" s="33">
        <x:v>9450</x:v>
      </x:c>
      <x:c r="I114" s="33">
        <x:v>14374</x:v>
      </x:c>
      <x:c r="J114" s="33">
        <x:v>8047</x:v>
      </x:c>
      <x:c r="K114" s="33">
        <x:v>7821</x:v>
      </x:c>
      <x:c r="L114" s="33">
        <x:v>0</x:v>
      </x:c>
      <x:c r="M114" s="33">
        <x:v>191420</x:v>
      </x:c>
      <x:c r="N114" s="33">
        <x:v>49117.440000000002</x:v>
      </x:c>
    </x:row>
    <x:row r="115">
      <x:c r="A115" s="34">
        <x:v>43555</x:v>
      </x:c>
      <x:c r="B115" s="33">
        <x:v>53656</x:v>
      </x:c>
      <x:c r="C115" s="33">
        <x:v>58629</x:v>
      </x:c>
      <x:c r="D115" s="33">
        <x:v>6.2</x:v>
      </x:c>
      <x:c r="E115" s="33">
        <x:v>15</x:v>
      </x:c>
      <x:c r="F115" s="33">
        <x:v>46706</x:v>
      </x:c>
      <x:c r="G115" s="33">
        <x:v>6950</x:v>
      </x:c>
      <x:c r="H115" s="33">
        <x:v>14300</x:v>
      </x:c>
      <x:c r="I115" s="33">
        <x:v>18881</x:v>
      </x:c>
      <x:c r="J115" s="33">
        <x:v>12060.94</x:v>
      </x:c>
      <x:c r="K115" s="33">
        <x:v>14067</x:v>
      </x:c>
      <x:c r="L115" s="33">
        <x:v>0</x:v>
      </x:c>
      <x:c r="M115" s="33">
        <x:v>196194</x:v>
      </x:c>
      <x:c r="N115" s="33">
        <x:v>42190.120999999999</x:v>
      </x:c>
    </x:row>
    <x:row r="116">
      <x:c r="A116" s="34">
        <x:v>43585</x:v>
      </x:c>
      <x:c r="B116" s="33">
        <x:v>72651</x:v>
      </x:c>
      <x:c r="C116" s="33">
        <x:v>75667</x:v>
      </x:c>
      <x:c r="D116" s="33">
        <x:v>5.3</x:v>
      </x:c>
      <x:c r="E116" s="33">
        <x:v>15.2</x:v>
      </x:c>
      <x:c r="F116" s="33">
        <x:v>63692</x:v>
      </x:c>
      <x:c r="G116" s="33">
        <x:v>8959</x:v>
      </x:c>
      <x:c r="H116" s="33">
        <x:v>19563</x:v>
      </x:c>
      <x:c r="I116" s="33">
        <x:v>22421</x:v>
      </x:c>
      <x:c r="J116" s="33">
        <x:v>16593.189999999999</x:v>
      </x:c>
      <x:c r="K116" s="33">
        <x:v>16333</x:v>
      </x:c>
      <x:c r="L116" s="33">
        <x:v>0</x:v>
      </x:c>
      <x:c r="M116" s="33">
        <x:v>196794</x:v>
      </x:c>
      <x:c r="N116" s="33">
        <x:v>47536.826399999998</x:v>
      </x:c>
    </x:row>
    <x:row r="117">
      <x:c r="A117" s="34">
        <x:v>43616</x:v>
      </x:c>
      <x:c r="B117" s="33">
        <x:v>89919</x:v>
      </x:c>
      <x:c r="C117" s="33">
        <x:v>93023</x:v>
      </x:c>
      <x:c r="D117" s="33">
        <x:v>3.8</x:v>
      </x:c>
      <x:c r="E117" s="33">
        <x:v>12.5</x:v>
      </x:c>
      <x:c r="F117" s="33">
        <x:v>78493</x:v>
      </x:c>
      <x:c r="G117" s="33">
        <x:v>11426</x:v>
      </x:c>
      <x:c r="H117" s="33">
        <x:v>24744</x:v>
      </x:c>
      <x:c r="I117" s="33">
        <x:v>27857</x:v>
      </x:c>
      <x:c r="J117" s="33">
        <x:v>20915.939999999999</x:v>
      </x:c>
      <x:c r="K117" s="33">
        <x:v>19376</x:v>
      </x:c>
      <x:c r="L117" s="33">
        <x:v>0</x:v>
      </x:c>
      <x:c r="M117" s="33">
        <x:v>198953</x:v>
      </x:c>
      <x:c r="N117" s="33">
        <x:v>52385.9182</x:v>
      </x:c>
    </x:row>
    <x:row r="118">
      <x:c r="A118" s="34">
        <x:v>43646</x:v>
      </x:c>
      <x:c r="B118" s="33">
        <x:v>107846</x:v>
      </x:c>
      <x:c r="C118" s="33">
        <x:v>123538</x:v>
      </x:c>
      <x:c r="D118" s="33">
        <x:v>3.4</x:v>
      </x:c>
      <x:c r="E118" s="33">
        <x:v>10.7</x:v>
      </x:c>
      <x:c r="F118" s="33">
        <x:v>92424</x:v>
      </x:c>
      <x:c r="G118" s="33">
        <x:v>15422</x:v>
      </x:c>
      <x:c r="H118" s="33">
        <x:v>31781</x:v>
      </x:c>
      <x:c r="I118" s="33">
        <x:v>37150</x:v>
      </x:c>
      <x:c r="J118" s="33">
        <x:v>26725.47</x:v>
      </x:c>
      <x:c r="K118" s="33">
        <x:v>28372.01</x:v>
      </x:c>
      <x:c r="L118" s="33">
        <x:v>0</x:v>
      </x:c>
      <x:c r="M118" s="33">
        <x:v>205477</x:v>
      </x:c>
      <x:c r="N118" s="33">
        <x:v>47365.4568</x:v>
      </x:c>
    </x:row>
    <x:row r="119">
      <x:c r="A119" s="34">
        <x:v>43677</x:v>
      </x:c>
      <x:c r="B119" s="33">
        <x:v>125623</x:v>
      </x:c>
      <x:c r="C119" s="33">
        <x:v>137963</x:v>
      </x:c>
      <x:c r="D119" s="33">
        <x:v>3.1</x:v>
      </x:c>
      <x:c r="E119" s="33">
        <x:v>9.9</x:v>
      </x:c>
      <x:c r="F119" s="33">
        <x:v>108046</x:v>
      </x:c>
      <x:c r="G119" s="33">
        <x:v>17577</x:v>
      </x:c>
      <x:c r="H119" s="33">
        <x:v>38691</x:v>
      </x:c>
      <x:c r="I119" s="33">
        <x:v>44446</x:v>
      </x:c>
      <x:c r="J119" s="33">
        <x:v>32873.019999999997</x:v>
      </x:c>
      <x:c r="K119" s="33">
        <x:v>33931.39</x:v>
      </x:c>
      <x:c r="L119" s="33">
        <x:v>0</x:v>
      </x:c>
      <x:c r="M119" s="33">
        <x:v>210653</x:v>
      </x:c>
      <x:c r="N119" s="33">
        <x:v>55456.660199999998</x:v>
      </x:c>
    </x:row>
    <x:row r="120">
      <x:c r="A120" s="34">
        <x:v>43708</x:v>
      </x:c>
      <x:c r="B120" s="33">
        <x:v>137061</x:v>
      </x:c>
      <x:c r="C120" s="33">
        <x:v>153069</x:v>
      </x:c>
      <x:c r="D120" s="33">
        <x:v>3.2</x:v>
      </x:c>
      <x:c r="E120" s="33">
        <x:v>8.8000000000000007</x:v>
      </x:c>
      <x:c r="F120" s="33">
        <x:v>117134</x:v>
      </x:c>
      <x:c r="G120" s="33">
        <x:v>19927</x:v>
      </x:c>
      <x:c r="H120" s="33">
        <x:v>45987</x:v>
      </x:c>
      <x:c r="I120" s="33">
        <x:v>52745</x:v>
      </x:c>
      <x:c r="J120" s="33">
        <x:v>38156.28</x:v>
      </x:c>
      <x:c r="K120" s="33">
        <x:v>39626.080000000002</x:v>
      </x:c>
      <x:c r="L120" s="33">
        <x:v>0</x:v>
      </x:c>
      <x:c r="M120" s="33">
        <x:v>214139</x:v>
      </x:c>
      <x:c r="N120" s="33">
        <x:v>55551.446900000003</x:v>
      </x:c>
    </x:row>
    <x:row r="121">
      <x:c r="A121" s="34">
        <x:v>43738</x:v>
      </x:c>
      <x:c r="B121" s="33">
        <x:v>150678</x:v>
      </x:c>
      <x:c r="C121" s="33">
        <x:v>178612</x:v>
      </x:c>
      <x:c r="D121" s="33">
        <x:v>3.3</x:v>
      </x:c>
      <x:c r="E121" s="33">
        <x:v>9.4</x:v>
      </x:c>
      <x:c r="F121" s="33">
        <x:v>126970</x:v>
      </x:c>
      <x:c r="G121" s="33">
        <x:v>23708</x:v>
      </x:c>
      <x:c r="H121" s="33">
        <x:v>53163</x:v>
      </x:c>
      <x:c r="I121" s="33">
        <x:v>61768</x:v>
      </x:c>
      <x:c r="J121" s="33">
        <x:v>44751.28</x:v>
      </x:c>
      <x:c r="K121" s="33">
        <x:v>41821.910000000003</x:v>
      </x:c>
      <x:c r="L121" s="33">
        <x:v>0</x:v>
      </x:c>
      <x:c r="M121" s="33">
        <x:v>214150</x:v>
      </x:c>
      <x:c r="N121" s="33">
        <x:v>48525.6682</x:v>
      </x:c>
    </x:row>
    <x:row r="122">
      <x:c r="A122" s="34">
        <x:v>43769</x:v>
      </x:c>
      <x:c r="B122" s="33">
        <x:v>167704</x:v>
      </x:c>
      <x:c r="C122" s="33">
        <x:v>190587</x:v>
      </x:c>
      <x:c r="D122" s="33">
        <x:v>3.8</x:v>
      </x:c>
      <x:c r="E122" s="33">
        <x:v>8.6999999999999993</x:v>
      </x:c>
      <x:c r="F122" s="33">
        <x:v>141514</x:v>
      </x:c>
      <x:c r="G122" s="33">
        <x:v>26190</x:v>
      </x:c>
      <x:c r="H122" s="33">
        <x:v>60206</x:v>
      </x:c>
      <x:c r="I122" s="33">
        <x:v>68647</x:v>
      </x:c>
      <x:c r="J122" s="33">
        <x:v>50797.81</x:v>
      </x:c>
      <x:c r="K122" s="33">
        <x:v>42786.51</x:v>
      </x:c>
      <x:c r="L122" s="33">
        <x:v>0</x:v>
      </x:c>
      <x:c r="M122" s="33">
        <x:v>213800</x:v>
      </x:c>
      <x:c r="N122" s="33">
        <x:v>54076.402600000001</x:v>
      </x:c>
    </x:row>
    <x:row r="123">
      <x:c r="A123" s="34">
        <x:v>43799</x:v>
      </x:c>
      <x:c r="B123" s="33">
        <x:v>178967</x:v>
      </x:c>
      <x:c r="C123" s="33">
        <x:v>206463</x:v>
      </x:c>
      <x:c r="D123" s="33">
        <x:v>3.8</x:v>
      </x:c>
      <x:c r="E123" s="33">
        <x:v>7.7</x:v>
      </x:c>
      <x:c r="F123" s="33">
        <x:v>149699</x:v>
      </x:c>
      <x:c r="G123" s="33">
        <x:v>29268</x:v>
      </x:c>
      <x:c r="H123" s="33">
        <x:v>68080</x:v>
      </x:c>
      <x:c r="I123" s="33">
        <x:v>75976</x:v>
      </x:c>
      <x:c r="J123" s="33">
        <x:v>57684.32</x:v>
      </x:c>
      <x:c r="K123" s="33">
        <x:v>43244.4</x:v>
      </x:c>
      <x:c r="L123" s="33">
        <x:v>0</x:v>
      </x:c>
      <x:c r="M123" s="33">
        <x:v>213333</x:v>
      </x:c>
      <x:c r="N123" s="33">
        <x:v>51624.956299999998</x:v>
      </x:c>
    </x:row>
    <x:row r="124">
      <x:c r="A124" s="34">
        <x:v>43830</x:v>
      </x:c>
      <x:c r="B124" s="33">
        <x:v>190382</x:v>
      </x:c>
      <x:c r="C124" s="33">
        <x:v>238874</x:v>
      </x:c>
      <x:c r="D124" s="33">
        <x:v>3.8</x:v>
      </x:c>
      <x:c r="E124" s="33">
        <x:v>8.1</x:v>
      </x:c>
      <x:c r="F124" s="33">
        <x:v>157992</x:v>
      </x:c>
      <x:c r="G124" s="33">
        <x:v>32390</x:v>
      </x:c>
      <x:c r="H124" s="33">
        <x:v>84516</x:v>
      </x:c>
      <x:c r="I124" s="33">
        <x:v>91365</x:v>
      </x:c>
      <x:c r="J124" s="33">
        <x:v>72516.94</x:v>
      </x:c>
      <x:c r="K124" s="33">
        <x:v>43624.27</x:v>
      </x:c>
      <x:c r="L124" s="33">
        <x:v>0</x:v>
      </x:c>
      <x:c r="M124" s="33">
        <x:v>213072</x:v>
      </x:c>
      <x:c r="N124" s="33">
        <x:v>40840.17</x:v>
      </x:c>
    </x:row>
    <x:row r="125">
      <x:c r="A125" s="34">
        <x:v>43861</x:v>
      </x:c>
      <x:c r="B125" s="33">
        <x:v>0</x:v>
      </x:c>
      <x:c r="C125" s="33">
        <x:v>0</x:v>
      </x:c>
      <x:c r="D125" s="33">
        <x:v>0</x:v>
      </x:c>
      <x:c r="E125" s="33">
        <x:v>0</x:v>
      </x:c>
      <x:c r="F125" s="33">
        <x:v>0</x:v>
      </x:c>
      <x:c r="G125" s="33">
        <x:v>0</x:v>
      </x:c>
      <x:c r="H125" s="33">
        <x:v>0</x:v>
      </x:c>
      <x:c r="I125" s="33">
        <x:v>0</x:v>
      </x:c>
      <x:c r="J125" s="33">
        <x:v>0</x:v>
      </x:c>
      <x:c r="K125" s="33">
        <x:v>7850.64</x:v>
      </x:c>
      <x:c r="L125" s="33">
        <x:v>0</x:v>
      </x:c>
      <x:c r="M125" s="33">
        <x:v>220923</x:v>
      </x:c>
      <x:c r="N125" s="33">
        <x:v>44841.54</x:v>
      </x:c>
    </x:row>
    <x:row r="126">
      <x:c r="A126" s="34">
        <x:v>43890</x:v>
      </x:c>
      <x:c r="B126" s="33">
        <x:v>35232</x:v>
      </x:c>
      <x:c r="C126" s="33">
        <x:v>32350</x:v>
      </x:c>
      <x:c r="D126" s="33">
        <x:v>-9.9</x:v>
      </x:c>
      <x:c r="E126" s="33">
        <x:v>-2.9</x:v>
      </x:c>
      <x:c r="F126" s="33">
        <x:v>31175</x:v>
      </x:c>
      <x:c r="G126" s="33">
        <x:v>4057</x:v>
      </x:c>
      <x:c r="H126" s="33">
        <x:v>7688</x:v>
      </x:c>
      <x:c r="I126" s="33">
        <x:v>12879</x:v>
      </x:c>
      <x:c r="J126" s="33">
        <x:v>6725</x:v>
      </x:c>
      <x:c r="K126" s="33">
        <x:v>12230</x:v>
      </x:c>
      <x:c r="L126" s="33">
        <x:v>0</x:v>
      </x:c>
      <x:c r="M126" s="33">
        <x:v>225302</x:v>
      </x:c>
      <x:c r="N126" s="33">
        <x:v>45049.62</x:v>
      </x:c>
    </x:row>
    <x:row r="127">
      <x:c r="A127" s="34">
        <x:v>43921</x:v>
      </x:c>
      <x:c r="B127" s="33">
        <x:v>45984</x:v>
      </x:c>
      <x:c r="C127" s="33">
        <x:v>55284</x:v>
      </x:c>
      <x:c r="D127" s="33">
        <x:v>-14.3</x:v>
      </x:c>
      <x:c r="E127" s="33">
        <x:v>-5.7</x:v>
      </x:c>
      <x:c r="F127" s="33">
        <x:v>39029</x:v>
      </x:c>
      <x:c r="G127" s="33">
        <x:v>6955</x:v>
      </x:c>
      <x:c r="H127" s="33">
        <x:v>12577</x:v>
      </x:c>
      <x:c r="I127" s="33">
        <x:v>19749</x:v>
      </x:c>
      <x:c r="J127" s="33">
        <x:v>11117</x:v>
      </x:c>
      <x:c r="K127" s="33">
        <x:v>16105.08</x:v>
      </x:c>
      <x:c r="L127" s="33">
        <x:v>0</x:v>
      </x:c>
      <x:c r="M127" s="33">
        <x:v>228219</x:v>
      </x:c>
      <x:c r="N127" s="33">
        <x:v>37696.559999999998</x:v>
      </x:c>
    </x:row>
    <x:row r="128">
      <x:c r="A128" s="34">
        <x:v>43951</x:v>
      </x:c>
      <x:c r="B128" s="33">
        <x:v>62133</x:v>
      </x:c>
      <x:c r="C128" s="33">
        <x:v>73596</x:v>
      </x:c>
      <x:c r="D128" s="33">
        <x:v>-14.5</x:v>
      </x:c>
      <x:c r="E128" s="33">
        <x:v>-2.7</x:v>
      </x:c>
      <x:c r="F128" s="33">
        <x:v>53081</x:v>
      </x:c>
      <x:c r="G128" s="33">
        <x:v>9052</x:v>
      </x:c>
      <x:c r="H128" s="33">
        <x:v>17770</x:v>
      </x:c>
      <x:c r="I128" s="33">
        <x:v>25766</x:v>
      </x:c>
      <x:c r="J128" s="33">
        <x:v>15839</x:v>
      </x:c>
      <x:c r="K128" s="33">
        <x:v>18972.68</x:v>
      </x:c>
      <x:c r="L128" s="33">
        <x:v>0</x:v>
      </x:c>
      <x:c r="M128" s="33">
        <x:v>230402</x:v>
      </x:c>
      <x:c r="N128" s="33">
        <x:v>38225.56</x:v>
      </x:c>
    </x:row>
    <x:row r="129">
      <x:c r="A129" s="34">
        <x:v>43982</x:v>
      </x:c>
      <x:c r="B129" s="33">
        <x:v>77672</x:v>
      </x:c>
      <x:c r="C129" s="33">
        <x:v>90281</x:v>
      </x:c>
      <x:c r="D129" s="33">
        <x:v>-13.6</x:v>
      </x:c>
      <x:c r="E129" s="33">
        <x:v>-2.9</x:v>
      </x:c>
      <x:c r="F129" s="33">
        <x:v>66810</x:v>
      </x:c>
      <x:c r="G129" s="33">
        <x:v>10862</x:v>
      </x:c>
      <x:c r="H129" s="33">
        <x:v>23641</x:v>
      </x:c>
      <x:c r="I129" s="33">
        <x:v>31856</x:v>
      </x:c>
      <x:c r="J129" s="33">
        <x:v>21091</x:v>
      </x:c>
      <x:c r="K129" s="33">
        <x:v>31997.27</x:v>
      </x:c>
      <x:c r="L129" s="33">
        <x:v>0</x:v>
      </x:c>
      <x:c r="M129" s="33">
        <x:v>242075</x:v>
      </x:c>
      <x:c r="N129" s="33">
        <x:v>51309.15</x:v>
      </x:c>
    </x:row>
    <x:row r="130">
      <x:c r="A130" s="34">
        <x:v>44012</x:v>
      </x:c>
      <x:c r="B130" s="33">
        <x:v>96176</x:v>
      </x:c>
      <x:c r="C130" s="33">
        <x:v>116411</x:v>
      </x:c>
      <x:c r="D130" s="33">
        <x:v>-10.8</x:v>
      </x:c>
      <x:c r="E130" s="33">
        <x:v>-5.8</x:v>
      </x:c>
      <x:c r="F130" s="33">
        <x:v>81990</x:v>
      </x:c>
      <x:c r="G130" s="33">
        <x:v>14186</x:v>
      </x:c>
      <x:c r="H130" s="33">
        <x:v>31479</x:v>
      </x:c>
      <x:c r="I130" s="33">
        <x:v>45212</x:v>
      </x:c>
      <x:c r="J130" s="33">
        <x:v>28129</x:v>
      </x:c>
      <x:c r="K130" s="33">
        <x:v>34864</x:v>
      </x:c>
      <x:c r="L130" s="33">
        <x:v>0</x:v>
      </x:c>
      <x:c r="M130" s="33">
        <x:v>241583</x:v>
      </x:c>
      <x:c r="N130" s="33">
        <x:v>45224.160000000003</x:v>
      </x:c>
    </x:row>
    <x:row r="131">
      <x:c r="A131" s="34">
        <x:v>44043</x:v>
      </x:c>
      <x:c r="B131" s="33">
        <x:v>114725</x:v>
      </x:c>
      <x:c r="C131" s="33">
        <x:v>133499</x:v>
      </x:c>
      <x:c r="D131" s="33">
        <x:v>-8.6999999999999993</x:v>
      </x:c>
      <x:c r="E131" s="33">
        <x:v>-3.2</x:v>
      </x:c>
      <x:c r="F131" s="33">
        <x:v>98509</x:v>
      </x:c>
      <x:c r="G131" s="33">
        <x:v>16216</x:v>
      </x:c>
      <x:c r="H131" s="33">
        <x:v>39173</x:v>
      </x:c>
      <x:c r="I131" s="33">
        <x:v>52985</x:v>
      </x:c>
      <x:c r="J131" s="33">
        <x:v>35101</x:v>
      </x:c>
      <x:c r="K131" s="33">
        <x:v>37586.43</x:v>
      </x:c>
      <x:c r="L131" s="33">
        <x:v>0</x:v>
      </x:c>
      <x:c r="M131" s="33">
        <x:v>241616</x:v>
      </x:c>
      <x:c r="N131" s="33">
        <x:v>50096.160000000003</x:v>
      </x:c>
    </x:row>
    <x:row r="132">
      <x:c r="A132" s="34">
        <x:v>44074</x:v>
      </x:c>
      <x:c r="B132" s="33">
        <x:v>126768</x:v>
      </x:c>
      <x:c r="C132" s="33">
        <x:v>149925</x:v>
      </x:c>
      <x:c r="D132" s="33">
        <x:v>-7.5</x:v>
      </x:c>
      <x:c r="E132" s="33">
        <x:v>-2.1</x:v>
      </x:c>
      <x:c r="F132" s="33">
        <x:v>108236</x:v>
      </x:c>
      <x:c r="G132" s="33">
        <x:v>18532</x:v>
      </x:c>
      <x:c r="H132" s="33">
        <x:v>47030</x:v>
      </x:c>
      <x:c r="I132" s="33">
        <x:v>63889</x:v>
      </x:c>
      <x:c r="J132" s="33">
        <x:v>42017</x:v>
      </x:c>
      <x:c r="K132" s="33">
        <x:v>49583.65</x:v>
      </x:c>
      <x:c r="L132" s="33">
        <x:v>0</x:v>
      </x:c>
      <x:c r="M132" s="33">
        <x:v>251040</x:v>
      </x:c>
      <x:c r="N132" s="33">
        <x:v>55435.47</x:v>
      </x:c>
    </x:row>
    <x:row r="133">
      <x:c r="A133" s="34">
        <x:v>44104</x:v>
      </x:c>
      <x:c r="B133" s="33">
        <x:v>141002</x:v>
      </x:c>
      <x:c r="C133" s="33">
        <x:v>175185</x:v>
      </x:c>
      <x:c r="D133" s="33">
        <x:v>-6.4</x:v>
      </x:c>
      <x:c r="E133" s="33">
        <x:v>-1.9</x:v>
      </x:c>
      <x:c r="F133" s="33">
        <x:v>118876</x:v>
      </x:c>
      <x:c r="G133" s="33">
        <x:v>22126</x:v>
      </x:c>
      <x:c r="H133" s="33">
        <x:v>55207</x:v>
      </x:c>
      <x:c r="I133" s="33">
        <x:v>78218</x:v>
      </x:c>
      <x:c r="J133" s="33">
        <x:v>49360</x:v>
      </x:c>
      <x:c r="K133" s="33">
        <x:v>56789.09</x:v>
      </x:c>
      <x:c r="L133" s="33">
        <x:v>0</x:v>
      </x:c>
      <x:c r="M133" s="33">
        <x:v>255821</x:v>
      </x:c>
      <x:c r="N133" s="33">
        <x:v>47118.34</x:v>
      </x:c>
    </x:row>
    <x:row r="134">
      <x:c r="A134" s="34">
        <x:v>44135</x:v>
      </x:c>
      <x:c r="B134" s="33">
        <x:v>158533</x:v>
      </x:c>
      <x:c r="C134" s="33">
        <x:v>189439</x:v>
      </x:c>
      <x:c r="D134" s="33">
        <x:v>-5.5</x:v>
      </x:c>
      <x:c r="E134" s="33">
        <x:v>-0.6</x:v>
      </x:c>
      <x:c r="F134" s="33">
        <x:v>135044</x:v>
      </x:c>
      <x:c r="G134" s="33">
        <x:v>23489</x:v>
      </x:c>
      <x:c r="H134" s="33">
        <x:v>62645</x:v>
      </x:c>
      <x:c r="I134" s="33">
        <x:v>85619</x:v>
      </x:c>
      <x:c r="J134" s="33">
        <x:v>55965</x:v>
      </x:c>
      <x:c r="K134" s="33">
        <x:v>61218.35</x:v>
      </x:c>
      <x:c r="L134" s="33">
        <x:v>0</x:v>
      </x:c>
      <x:c r="M134" s="33">
        <x:v>258074</x:v>
      </x:c>
      <x:c r="N134" s="33">
        <x:v>56168.65</x:v>
      </x:c>
    </x:row>
    <x:row r="135">
      <x:c r="A135" s="34">
        <x:v>44165</x:v>
      </x:c>
      <x:c r="B135" s="33">
        <x:v>169489</x:v>
      </x:c>
      <x:c r="C135" s="33">
        <x:v>207846</x:v>
      </x:c>
      <x:c r="D135" s="33">
        <x:v>-5.3</x:v>
      </x:c>
      <x:c r="E135" s="33">
        <x:v>0.7</x:v>
      </x:c>
      <x:c r="F135" s="33">
        <x:v>144227</x:v>
      </x:c>
      <x:c r="G135" s="33">
        <x:v>25262</x:v>
      </x:c>
      <x:c r="H135" s="33">
        <x:v>72672</x:v>
      </x:c>
      <x:c r="I135" s="33">
        <x:v>95553</x:v>
      </x:c>
      <x:c r="J135" s="33">
        <x:v>65126</x:v>
      </x:c>
      <x:c r="K135" s="33">
        <x:v>62602</x:v>
      </x:c>
      <x:c r="L135" s="33">
        <x:v>0</x:v>
      </x:c>
      <x:c r="M135" s="33">
        <x:v>255595</x:v>
      </x:c>
      <x:c r="N135" s="33">
        <x:v>54311.91</x:v>
      </x:c>
    </x:row>
    <x:row r="136">
      <x:c r="A136" s="34">
        <x:v>44196</x:v>
      </x:c>
      <x:c r="B136" s="33">
        <x:v>182895</x:v>
      </x:c>
      <x:c r="C136" s="33">
        <x:v>245588</x:v>
      </x:c>
      <x:c r="D136" s="33">
        <x:v>-3.9</x:v>
      </x:c>
      <x:c r="E136" s="33">
        <x:v>2.8</x:v>
      </x:c>
      <x:c r="F136" s="33">
        <x:v>154310</x:v>
      </x:c>
      <x:c r="G136" s="33">
        <x:v>28585</x:v>
      </x:c>
      <x:c r="H136" s="33">
        <x:v>93489</x:v>
      </x:c>
      <x:c r="I136" s="33">
        <x:v>117999</x:v>
      </x:c>
      <x:c r="J136" s="33">
        <x:v>84142</x:v>
      </x:c>
      <x:c r="K136" s="33">
        <x:v>64438.12</x:v>
      </x:c>
      <x:c r="L136" s="33">
        <x:v>0</x:v>
      </x:c>
      <x:c r="M136" s="33">
        <x:v>256615</x:v>
      </x:c>
      <x:c r="N136" s="33">
        <x:v>44771.23</x:v>
      </x:c>
    </x:row>
    <x:row r="137">
      <x:c r="A137" s="34">
        <x:v>44227</x:v>
      </x:c>
      <x:c r="B137" s="33">
        <x:v>0</x:v>
      </x:c>
      <x:c r="C137" s="33">
        <x:v>0</x:v>
      </x:c>
      <x:c r="D137" s="33">
        <x:v>0</x:v>
      </x:c>
      <x:c r="E137" s="33">
        <x:v>0</x:v>
      </x:c>
      <x:c r="F137" s="33">
        <x:v>0</x:v>
      </x:c>
      <x:c r="G137" s="33">
        <x:v>0</x:v>
      </x:c>
      <x:c r="H137" s="33">
        <x:v>0</x:v>
      </x:c>
      <x:c r="I137" s="33">
        <x:v>0</x:v>
      </x:c>
      <x:c r="J137" s="33">
        <x:v>0</x:v>
      </x:c>
      <x:c r="K137" s="33">
        <x:v>3623.36</x:v>
      </x:c>
      <x:c r="L137" s="33">
        <x:v>0</x:v>
      </x:c>
      <x:c r="M137" s="33">
        <x:v>260208</x:v>
      </x:c>
      <x:c r="N137" s="33">
        <x:v>56487.16</x:v>
      </x:c>
    </x:row>
    <x:row r="138">
      <x:c r="A138" s="34">
        <x:v>44255</x:v>
      </x:c>
      <x:c r="B138" s="33">
        <x:v>41805</x:v>
      </x:c>
      <x:c r="C138" s="33">
        <x:v>35733</x:v>
      </x:c>
      <x:c r="D138" s="33">
        <x:v>18.7</x:v>
      </x:c>
      <x:c r="E138" s="33">
        <x:v>10.5</x:v>
      </x:c>
      <x:c r="F138" s="33">
        <x:v>37064</x:v>
      </x:c>
      <x:c r="G138" s="33">
        <x:v>4741</x:v>
      </x:c>
      <x:c r="H138" s="33">
        <x:v>12585</x:v>
      </x:c>
      <x:c r="I138" s="33">
        <x:v>10977</x:v>
      </x:c>
      <x:c r="J138" s="33">
        <x:v>11236</x:v>
      </x:c>
      <x:c r="K138" s="33">
        <x:v>4180.6000000000004</x:v>
      </x:c>
      <x:c r="L138" s="33">
        <x:v>630</x:v>
      </x:c>
      <x:c r="M138" s="33">
        <x:v>260166</x:v>
      </x:c>
      <x:c r="N138" s="33">
        <x:v>48008.29</x:v>
      </x:c>
    </x:row>
    <x:row r="139">
      <x:c r="A139" s="34">
        <x:v>44286</x:v>
      </x:c>
      <x:c r="B139" s="33">
        <x:v>57115</x:v>
      </x:c>
      <x:c r="C139" s="33">
        <x:v>58703</x:v>
      </x:c>
      <x:c r="D139" s="33">
        <x:v>24.2</x:v>
      </x:c>
      <x:c r="E139" s="33">
        <x:v>6.2</x:v>
      </x:c>
      <x:c r="F139" s="33">
        <x:v>48723</x:v>
      </x:c>
      <x:c r="G139" s="33">
        <x:v>8392</x:v>
      </x:c>
      <x:c r="H139" s="33">
        <x:v>18605</x:v>
      </x:c>
      <x:c r="I139" s="33">
        <x:v>17331</x:v>
      </x:c>
      <x:c r="J139" s="33">
        <x:v>16467</x:v>
      </x:c>
      <x:c r="K139" s="33">
        <x:v>8951.1</x:v>
      </x:c>
      <x:c r="L139" s="33">
        <x:v>3513</x:v>
      </x:c>
      <x:c r="M139" s="33">
        <x:v>262052</x:v>
      </x:c>
      <x:c r="N139" s="33">
        <x:v>43137.9</x:v>
      </x:c>
    </x:row>
    <x:row r="140">
      <x:c r="A140" s="34">
        <x:v>44316</x:v>
      </x:c>
      <x:c r="B140" s="33">
        <x:v>78008</x:v>
      </x:c>
      <x:c r="C140" s="33">
        <x:v>76396</x:v>
      </x:c>
      <x:c r="D140" s="33">
        <x:v>25.5</x:v>
      </x:c>
      <x:c r="E140" s="33">
        <x:v>3.8</x:v>
      </x:c>
      <x:c r="F140" s="33">
        <x:v>67450</x:v>
      </x:c>
      <x:c r="G140" s="33">
        <x:v>10558</x:v>
      </x:c>
      <x:c r="H140" s="33">
        <x:v>24277</x:v>
      </x:c>
      <x:c r="I140" s="33">
        <x:v>23289</x:v>
      </x:c>
      <x:c r="J140" s="33">
        <x:v>21383</x:v>
      </x:c>
      <x:c r="K140" s="33">
        <x:v>16709.330000000002</x:v>
      </x:c>
      <x:c r="L140" s="33">
        <x:v>7277</x:v>
      </x:c>
      <x:c r="M140" s="33">
        <x:v>266047</x:v>
      </x:c>
      <x:c r="N140" s="33">
        <x:v>48915.09</x:v>
      </x:c>
    </x:row>
    <x:row r="141">
      <x:c r="A141" s="34">
        <x:v>44347</x:v>
      </x:c>
      <x:c r="B141" s="33">
        <x:v>96454</x:v>
      </x:c>
      <x:c r="C141" s="33">
        <x:v>93553</x:v>
      </x:c>
      <x:c r="D141" s="33">
        <x:v>24.2</x:v>
      </x:c>
      <x:c r="E141" s="33">
        <x:v>3.6</x:v>
      </x:c>
      <x:c r="F141" s="33">
        <x:v>83831</x:v>
      </x:c>
      <x:c r="G141" s="33">
        <x:v>12623</x:v>
      </x:c>
      <x:c r="H141" s="33">
        <x:v>29704</x:v>
      </x:c>
      <x:c r="I141" s="33">
        <x:v>29614</x:v>
      </x:c>
      <x:c r="J141" s="33">
        <x:v>26123</x:v>
      </x:c>
      <x:c r="K141" s="33">
        <x:v>25462.76</x:v>
      </x:c>
      <x:c r="L141" s="33">
        <x:v>10157</x:v>
      </x:c>
      <x:c r="M141" s="33">
        <x:v>271921</x:v>
      </x:c>
      <x:c r="N141" s="33">
        <x:v>58171.74</x:v>
      </x:c>
    </x:row>
    <x:row r="142">
      <x:c r="A142" s="34">
        <x:v>44377</x:v>
      </x:c>
      <x:c r="B142" s="33">
        <x:v>117116</x:v>
      </x:c>
      <x:c r="C142" s="33">
        <x:v>121676</x:v>
      </x:c>
      <x:c r="D142" s="33">
        <x:v>21.8</x:v>
      </x:c>
      <x:c r="E142" s="33">
        <x:v>4.5</x:v>
      </x:c>
      <x:c r="F142" s="33">
        <x:v>100461</x:v>
      </x:c>
      <x:c r="G142" s="33">
        <x:v>16655</x:v>
      </x:c>
      <x:c r="H142" s="33">
        <x:v>39078</x:v>
      </x:c>
      <x:c r="I142" s="33">
        <x:v>41699</x:v>
      </x:c>
      <x:c r="J142" s="33">
        <x:v>34436</x:v>
      </x:c>
      <x:c r="K142" s="33">
        <x:v>33411</x:v>
      </x:c>
      <x:c r="L142" s="33">
        <x:v>14177</x:v>
      </x:c>
      <x:c r="M142" s="33">
        <x:v>275849</x:v>
      </x:c>
      <x:c r="N142" s="33">
        <x:v>54169.81</x:v>
      </x:c>
    </x:row>
    <x:row r="143">
      <x:c r="A143" s="34">
        <x:v>44408</x:v>
      </x:c>
      <x:c r="B143" s="33">
        <x:v>137716</x:v>
      </x:c>
      <x:c r="C143" s="33">
        <x:v>137928</x:v>
      </x:c>
      <x:c r="D143" s="33">
        <x:v>20</x:v>
      </x:c>
      <x:c r="E143" s="33">
        <x:v>3.3</x:v>
      </x:c>
      <x:c r="F143" s="33">
        <x:v>119112</x:v>
      </x:c>
      <x:c r="G143" s="33">
        <x:v>18604</x:v>
      </x:c>
      <x:c r="H143" s="33">
        <x:v>46967</x:v>
      </x:c>
      <x:c r="I143" s="33">
        <x:v>49366</x:v>
      </x:c>
      <x:c r="J143" s="33">
        <x:v>41407</x:v>
      </x:c>
      <x:c r="K143" s="33">
        <x:v>39979</x:v>
      </x:c>
      <x:c r="L143" s="33">
        <x:v>16692</x:v>
      </x:c>
      <x:c r="M143" s="33">
        <x:v>279901</x:v>
      </x:c>
      <x:c r="N143" s="33">
        <x:v>60178.09</x:v>
      </x:c>
    </x:row>
    <x:row r="144">
      <x:c r="A144" s="34">
        <x:v>44439</x:v>
      </x:c>
      <x:c r="B144" s="33">
        <x:v>150088</x:v>
      </x:c>
      <x:c r="C144" s="33">
        <x:v>155371</x:v>
      </x:c>
      <x:c r="D144" s="33">
        <x:v>18.399999999999999</x:v>
      </x:c>
      <x:c r="E144" s="33">
        <x:v>3.6</x:v>
      </x:c>
      <x:c r="F144" s="33">
        <x:v>129627</x:v>
      </x:c>
      <x:c r="G144" s="33">
        <x:v>20461</x:v>
      </x:c>
      <x:c r="H144" s="33">
        <x:v>53693</x:v>
      </x:c>
      <x:c r="I144" s="33">
        <x:v>59213</x:v>
      </x:c>
      <x:c r="J144" s="33">
        <x:v>47110</x:v>
      </x:c>
      <x:c r="K144" s="33">
        <x:v>48776</x:v>
      </x:c>
      <x:c r="L144" s="33">
        <x:v>20656</x:v>
      </x:c>
      <x:c r="M144" s="33">
        <x:v>284731</x:v>
      </x:c>
      <x:c r="N144" s="33">
        <x:v>61902.09</x:v>
      </x:c>
    </x:row>
    <x:row r="145">
      <x:c r="A145" s="34">
        <x:v>44469</x:v>
      </x:c>
      <x:c r="B145" s="33">
        <x:v>164020</x:v>
      </x:c>
      <x:c r="C145" s="33">
        <x:v>179293</x:v>
      </x:c>
      <x:c r="D145" s="33">
        <x:v>16.3</x:v>
      </x:c>
      <x:c r="E145" s="33">
        <x:v>2.2999999999999998</x:v>
      </x:c>
      <x:c r="F145" s="33">
        <x:v>140702</x:v>
      </x:c>
      <x:c r="G145" s="33">
        <x:v>23318</x:v>
      </x:c>
      <x:c r="H145" s="33">
        <x:v>61018</x:v>
      </x:c>
      <x:c r="I145" s="33">
        <x:v>71373</x:v>
      </x:c>
      <x:c r="J145" s="33">
        <x:v>53634</x:v>
      </x:c>
      <x:c r="K145" s="33">
        <x:v>56155</x:v>
      </x:c>
      <x:c r="L145" s="33">
        <x:v>23182</x:v>
      </x:c>
      <x:c r="M145" s="33">
        <x:v>289584</x:v>
      </x:c>
      <x:c r="N145" s="33">
        <x:v>56883.69</x:v>
      </x:c>
    </x:row>
    <x:row r="146">
      <x:c r="A146" s="34">
        <x:v>44500</x:v>
      </x:c>
      <x:c r="B146" s="33">
        <x:v>181526</x:v>
      </x:c>
      <x:c r="C146" s="33">
        <x:v>193961</x:v>
      </x:c>
      <x:c r="D146" s="33">
        <x:v>14.5</x:v>
      </x:c>
      <x:c r="E146" s="33">
        <x:v>2.4</x:v>
      </x:c>
      <x:c r="F146" s="33">
        <x:v>156508</x:v>
      </x:c>
      <x:c r="G146" s="33">
        <x:v>25018</x:v>
      </x:c>
      <x:c r="H146" s="33">
        <x:v>67459</x:v>
      </x:c>
      <x:c r="I146" s="33">
        <x:v>78155</x:v>
      </x:c>
      <x:c r="J146" s="33">
        <x:v>59371</x:v>
      </x:c>
      <x:c r="K146" s="33">
        <x:v>64916</x:v>
      </x:c>
      <x:c r="L146" s="33">
        <x:v>24977</x:v>
      </x:c>
      <x:c r="M146" s="33">
        <x:v>296549</x:v>
      </x:c>
      <x:c r="N146" s="33">
        <x:v>67994.59</x:v>
      </x:c>
    </x:row>
    <x:row r="147">
      <x:c r="A147" s="34">
        <x:v>44530</x:v>
      </x:c>
      <x:c r="B147" s="33">
        <x:v>191252</x:v>
      </x:c>
      <x:c r="C147" s="33">
        <x:v>213924</x:v>
      </x:c>
      <x:c r="D147" s="33">
        <x:v>12.8</x:v>
      </x:c>
      <x:c r="E147" s="33">
        <x:v>2.9</x:v>
      </x:c>
      <x:c r="F147" s="33">
        <x:v>164490</x:v>
      </x:c>
      <x:c r="G147" s="33">
        <x:v>26762</x:v>
      </x:c>
      <x:c r="H147" s="33">
        <x:v>76614</x:v>
      </x:c>
      <x:c r="I147" s="33">
        <x:v>90998</x:v>
      </x:c>
      <x:c r="J147" s="33">
        <x:v>67625</x:v>
      </x:c>
      <x:c r="K147" s="33">
        <x:v>71719</x:v>
      </x:c>
      <x:c r="L147" s="33">
        <x:v>26368</x:v>
      </x:c>
      <x:c r="M147" s="33">
        <x:v>301962</x:v>
      </x:c>
      <x:c r="N147" s="33">
        <x:v>60714.09</x:v>
      </x:c>
    </x:row>
    <x:row r="148">
      <x:c r="A148" s="34">
        <x:v>44561</x:v>
      </x:c>
      <x:c r="B148" s="33">
        <x:v>202539</x:v>
      </x:c>
      <x:c r="C148" s="33">
        <x:v>246322</x:v>
      </x:c>
      <x:c r="D148" s="33">
        <x:v>10.7</x:v>
      </x:c>
      <x:c r="E148" s="33">
        <x:v>0.3</x:v>
      </x:c>
      <x:c r="F148" s="33">
        <x:v>172731</x:v>
      </x:c>
      <x:c r="G148" s="33">
        <x:v>29808</x:v>
      </x:c>
      <x:c r="H148" s="33">
        <x:v>98024</x:v>
      </x:c>
      <x:c r="I148" s="33">
        <x:v>113661</x:v>
      </x:c>
      <x:c r="J148" s="33">
        <x:v>87051</x:v>
      </x:c>
      <x:c r="K148" s="33">
        <x:v>74898</x:v>
      </x:c>
      <x:c r="L148" s="33">
        <x:v>26685</x:v>
      </x:c>
      <x:c r="M148" s="33">
        <x:v>304700</x:v>
      </x:c>
      <x:c r="N148" s="33">
        <x:v>50388.7</x:v>
      </x:c>
    </x:row>
    <x:row r="149">
      <x:c r="A149" s="34">
        <x:v>44592</x:v>
      </x:c>
      <x:c r="B149" s="33">
        <x:v>0</x:v>
      </x:c>
      <x:c r="C149" s="33">
        <x:v>0</x:v>
      </x:c>
      <x:c r="D149" s="33">
        <x:v>0</x:v>
      </x:c>
      <x:c r="E149" s="33">
        <x:v>0</x:v>
      </x:c>
      <x:c r="F149" s="33">
        <x:v>0</x:v>
      </x:c>
      <x:c r="G149" s="33">
        <x:v>0</x:v>
      </x:c>
      <x:c r="H149" s="33">
        <x:v>0</x:v>
      </x:c>
      <x:c r="I149" s="33">
        <x:v>0</x:v>
      </x:c>
      <x:c r="J149" s="33">
        <x:v>0</x:v>
      </x:c>
      <x:c r="K149" s="33">
        <x:v>6989</x:v>
      </x:c>
      <x:c r="L149" s="33">
        <x:v>288</x:v>
      </x:c>
      <x:c r="M149" s="33">
        <x:v>311401</x:v>
      </x:c>
      <x:c r="N149" s="33">
        <x:v>56447.88</x:v>
      </x:c>
    </x:row>
    <x:row r="150">
      <x:c r="A150" s="34">
        <x:v>44620</x:v>
      </x:c>
      <x:c r="B150" s="33">
        <x:v>46203</x:v>
      </x:c>
      <x:c r="C150" s="33">
        <x:v>38227</x:v>
      </x:c>
      <x:c r="D150" s="33">
        <x:v>10.5</x:v>
      </x:c>
      <x:c r="E150" s="33">
        <x:v>7</x:v>
      </x:c>
      <x:c r="F150" s="33">
        <x:v>40812</x:v>
      </x:c>
      <x:c r="G150" s="33">
        <x:v>5391</x:v>
      </x:c>
      <x:c r="H150" s="33">
        <x:v>9159</x:v>
      </x:c>
      <x:c r="I150" s="33">
        <x:v>14042</x:v>
      </x:c>
      <x:c r="J150" s="33">
        <x:v>7922</x:v>
      </x:c>
      <x:c r="K150" s="33">
        <x:v>12060</x:v>
      </x:c>
      <x:c r="L150" s="33">
        <x:v>396</x:v>
      </x:c>
      <x:c r="M150" s="33">
        <x:v>316364</x:v>
      </x:c>
      <x:c r="N150" s="33">
        <x:v>62449.64</x:v>
      </x:c>
    </x:row>
    <x:row r="151">
      <x:c r="A151" s="34">
        <x:v>44651</x:v>
      </x:c>
      <x:c r="B151" s="33">
        <x:v>62037</x:v>
      </x:c>
      <x:c r="C151" s="33">
        <x:v>63587</x:v>
      </x:c>
      <x:c r="D151" s="33">
        <x:v>8.6</x:v>
      </x:c>
      <x:c r="E151" s="33">
        <x:v>8.3000000000000007</x:v>
      </x:c>
      <x:c r="F151" s="33">
        <x:v>52452</x:v>
      </x:c>
      <x:c r="G151" s="33">
        <x:v>9585</x:v>
      </x:c>
      <x:c r="H151" s="33">
        <x:v>13842</x:v>
      </x:c>
      <x:c r="I151" s="33">
        <x:v>24787</x:v>
      </x:c>
      <x:c r="J151" s="33">
        <x:v>11958</x:v>
      </x:c>
      <x:c r="K151" s="33">
        <x:v>18246</x:v>
      </x:c>
      <x:c r="L151" s="33">
        <x:v>1550</x:v>
      </x:c>
      <x:c r="M151" s="33">
        <x:v>321396</x:v>
      </x:c>
      <x:c r="N151" s="33">
        <x:v>54024.79</x:v>
      </x:c>
    </x:row>
    <x:row r="152">
      <x:c r="A152" s="34">
        <x:v>44681</x:v>
      </x:c>
      <x:c r="B152" s="33">
        <x:v>74293</x:v>
      </x:c>
      <x:c r="C152" s="33">
        <x:v>80933</x:v>
      </x:c>
      <x:c r="D152" s="33">
        <x:v>-4.8</x:v>
      </x:c>
      <x:c r="E152" s="33">
        <x:v>5.9</x:v>
      </x:c>
      <x:c r="F152" s="33">
        <x:v>62319</x:v>
      </x:c>
      <x:c r="G152" s="33">
        <x:v>11974</x:v>
      </x:c>
      <x:c r="H152" s="33">
        <x:v>17565</x:v>
      </x:c>
      <x:c r="I152" s="33">
        <x:v>31488</x:v>
      </x:c>
      <x:c r="J152" s="33">
        <x:v>15012</x:v>
      </x:c>
      <x:c r="K152" s="33">
        <x:v>21088</x:v>
      </x:c>
      <x:c r="L152" s="33">
        <x:v>2918</x:v>
      </x:c>
      <x:c r="M152" s="33">
        <x:v>322871</x:v>
      </x:c>
      <x:c r="N152" s="33">
        <x:v>54435</x:v>
      </x:c>
    </x:row>
    <x:row r="153">
      <x:c r="A153" s="34">
        <x:v>44712</x:v>
      </x:c>
      <x:c r="B153" s="33">
        <x:v>86739</x:v>
      </x:c>
      <x:c r="C153" s="33">
        <x:v>99059</x:v>
      </x:c>
      <x:c r="D153" s="33">
        <x:v>-10.1</x:v>
      </x:c>
      <x:c r="E153" s="33">
        <x:v>5.9</x:v>
      </x:c>
      <x:c r="F153" s="33">
        <x:v>72459</x:v>
      </x:c>
      <x:c r="G153" s="33">
        <x:v>14280</x:v>
      </x:c>
      <x:c r="H153" s="33">
        <x:v>21948</x:v>
      </x:c>
      <x:c r="I153" s="33">
        <x:v>39329</x:v>
      </x:c>
      <x:c r="J153" s="33">
        <x:v>18613</x:v>
      </x:c>
      <x:c r="K153" s="33">
        <x:v>33165</x:v>
      </x:c>
      <x:c r="L153" s="33">
        <x:v>5356</x:v>
      </x:c>
      <x:c r="M153" s="33">
        <x:v>332509</x:v>
      </x:c>
      <x:c r="N153" s="33">
        <x:v>60027.16</x:v>
      </x:c>
    </x:row>
    <x:row r="154">
      <x:c r="A154" s="34">
        <x:v>44742</x:v>
      </x:c>
      <x:c r="B154" s="33">
        <x:v>105221</x:v>
      </x:c>
      <x:c r="C154" s="33">
        <x:v>128887</x:v>
      </x:c>
      <x:c r="D154" s="33">
        <x:v>-10.199999999999999</x:v>
      </x:c>
      <x:c r="E154" s="33">
        <x:v>5.9</x:v>
      </x:c>
      <x:c r="F154" s="33">
        <x:v>85564</x:v>
      </x:c>
      <x:c r="G154" s="33">
        <x:v>19657</x:v>
      </x:c>
      <x:c r="H154" s="33">
        <x:v>27968</x:v>
      </x:c>
      <x:c r="I154" s="33">
        <x:v>54826</x:v>
      </x:c>
      <x:c r="J154" s="33">
        <x:v>23622</x:v>
      </x:c>
      <x:c r="K154" s="33">
        <x:v>52502</x:v>
      </x:c>
      <x:c r="L154" s="33">
        <x:v>9699</x:v>
      </x:c>
      <x:c r="M154" s="33">
        <x:v>347503</x:v>
      </x:c>
      <x:c r="N154" s="33">
        <x:v>55660.03</x:v>
      </x:c>
    </x:row>
    <x:row r="155">
      <x:c r="A155" s="34">
        <x:v>44773</x:v>
      </x:c>
      <x:c r="B155" s="33">
        <x:v>124981</x:v>
      </x:c>
      <x:c r="C155" s="33">
        <x:v>146751</x:v>
      </x:c>
      <x:c r="D155" s="33">
        <x:v>-9.1999999999999993</x:v>
      </x:c>
      <x:c r="E155" s="33">
        <x:v>6.4</x:v>
      </x:c>
      <x:c r="F155" s="33">
        <x:v>102667</x:v>
      </x:c>
      <x:c r="G155" s="33">
        <x:v>22314</x:v>
      </x:c>
      <x:c r="H155" s="33">
        <x:v>33384</x:v>
      </x:c>
      <x:c r="I155" s="33">
        <x:v>64062</x:v>
      </x:c>
      <x:c r="J155" s="33">
        <x:v>28279</x:v>
      </x:c>
      <x:c r="K155" s="33">
        <x:v>56565</x:v>
      </x:c>
      <x:c r="L155" s="33">
        <x:v>14619</x:v>
      </x:c>
      <x:c r="M155" s="33">
        <x:v>346646</x:v>
      </x:c>
      <x:c r="N155" s="33">
        <x:v>60523.519999999997</x:v>
      </x:c>
    </x:row>
    <x:row r="156">
      <x:c r="A156" s="34">
        <x:v>44804</x:v>
      </x:c>
      <x:c r="B156" s="33">
        <x:v>138043</x:v>
      </x:c>
      <x:c r="C156" s="33">
        <x:v>165177</x:v>
      </x:c>
      <x:c r="D156" s="33">
        <x:v>-8</x:v>
      </x:c>
      <x:c r="E156" s="33">
        <x:v>6.3</x:v>
      </x:c>
      <x:c r="F156" s="33">
        <x:v>113249</x:v>
      </x:c>
      <x:c r="G156" s="33">
        <x:v>24794</x:v>
      </x:c>
      <x:c r="H156" s="33">
        <x:v>39979</x:v>
      </x:c>
      <x:c r="I156" s="33">
        <x:v>73040</x:v>
      </x:c>
      <x:c r="J156" s="33">
        <x:v>33704</x:v>
      </x:c>
      <x:c r="K156" s="33">
        <x:v>60474</x:v>
      </x:c>
      <x:c r="L156" s="33">
        <x:v>17337</x:v>
      </x:c>
      <x:c r="M156" s="33">
        <x:v>347838</x:v>
      </x:c>
      <x:c r="N156" s="33">
        <x:v>57952</x:v>
      </x:c>
    </x:row>
    <x:row r="157">
      <x:c r="A157" s="34">
        <x:v>44834</x:v>
      </x:c>
      <x:c r="B157" s="33">
        <x:v>153151</x:v>
      </x:c>
      <x:c r="C157" s="33">
        <x:v>190389</x:v>
      </x:c>
      <x:c r="D157" s="33">
        <x:v>-6.6</x:v>
      </x:c>
      <x:c r="E157" s="33">
        <x:v>6.2</x:v>
      </x:c>
      <x:c r="F157" s="33">
        <x:v>124365</x:v>
      </x:c>
      <x:c r="G157" s="33">
        <x:v>28786</x:v>
      </x:c>
      <x:c r="H157" s="33">
        <x:v>45898</x:v>
      </x:c>
      <x:c r="I157" s="33">
        <x:v>80294</x:v>
      </x:c>
      <x:c r="J157" s="33">
        <x:v>38507</x:v>
      </x:c>
      <x:c r="K157" s="33">
        <x:v>63485</x:v>
      </x:c>
      <x:c r="L157" s="33">
        <x:v>21062</x:v>
      </x:c>
      <x:c r="M157" s="33">
        <x:v>347124</x:v>
      </x:c>
      <x:c r="N157" s="33">
        <x:v>53151.5</x:v>
      </x:c>
    </x:row>
    <x:row r="158">
      <x:c r="A158" s="34">
        <x:v>44865</x:v>
      </x:c>
      <x:c r="B158" s="33">
        <x:v>173397</x:v>
      </x:c>
      <x:c r="C158" s="33">
        <x:v>206334</x:v>
      </x:c>
      <x:c r="D158" s="33">
        <x:v>-4.5</x:v>
      </x:c>
      <x:c r="E158" s="33">
        <x:v>6.4</x:v>
      </x:c>
      <x:c r="F158" s="33">
        <x:v>142579</x:v>
      </x:c>
      <x:c r="G158" s="33">
        <x:v>30818</x:v>
      </x:c>
      <x:c r="H158" s="33">
        <x:v>52166</x:v>
      </x:c>
      <x:c r="I158" s="33">
        <x:v>85845</x:v>
      </x:c>
      <x:c r="J158" s="33">
        <x:v>44027</x:v>
      </x:c>
      <x:c r="K158" s="33">
        <x:v>70292</x:v>
      </x:c>
      <x:c r="L158" s="33">
        <x:v>23304</x:v>
      </x:c>
      <x:c r="M158" s="33">
        <x:v>351688</x:v>
      </x:c>
      <x:c r="N158" s="33">
        <x:v>64583.53</x:v>
      </x:c>
    </x:row>
    <x:row r="159">
      <x:c r="A159" s="34">
        <x:v>44895</x:v>
      </x:c>
      <x:c r="B159" s="33">
        <x:v>185518</x:v>
      </x:c>
      <x:c r="C159" s="33">
        <x:v>227255</x:v>
      </x:c>
      <x:c r="D159" s="33">
        <x:v>-3</x:v>
      </x:c>
      <x:c r="E159" s="33">
        <x:v>6.2</x:v>
      </x:c>
      <x:c r="F159" s="33">
        <x:v>152826</x:v>
      </x:c>
      <x:c r="G159" s="33">
        <x:v>32692</x:v>
      </x:c>
      <x:c r="H159" s="33">
        <x:v>60161</x:v>
      </x:c>
      <x:c r="I159" s="33">
        <x:v>95961</x:v>
      </x:c>
      <x:c r="J159" s="33">
        <x:v>51174</x:v>
      </x:c>
      <x:c r="K159" s="33">
        <x:v>72761</x:v>
      </x:c>
      <x:c r="L159" s="33">
        <x:v>27097</x:v>
      </x:c>
      <x:c r="M159" s="33">
        <x:v>350364</x:v>
      </x:c>
      <x:c r="N159" s="33">
        <x:v>60902.84</x:v>
      </x:c>
    </x:row>
    <x:row r="160">
      <x:c r="A160" s="34">
        <x:v>44926</x:v>
      </x:c>
      <x:c r="B160" s="33">
        <x:v>203703</x:v>
      </x:c>
      <x:c r="C160" s="33">
        <x:v>260609</x:v>
      </x:c>
      <x:c r="D160" s="33">
        <x:v>0.6</x:v>
      </x:c>
      <x:c r="E160" s="33">
        <x:v>6.1</x:v>
      </x:c>
      <x:c r="F160" s="33">
        <x:v>166614</x:v>
      </x:c>
      <x:c r="G160" s="33">
        <x:v>37089</x:v>
      </x:c>
      <x:c r="H160" s="33">
        <x:v>77879</x:v>
      </x:c>
      <x:c r="I160" s="33">
        <x:v>110583</x:v>
      </x:c>
      <x:c r="J160" s="33">
        <x:v>66854</x:v>
      </x:c>
      <x:c r="K160" s="33">
        <x:v>73676</x:v>
      </x:c>
      <x:c r="L160" s="33">
        <x:v>27758</x:v>
      </x:c>
      <x:c r="M160" s="33">
        <x:v>350618</x:v>
      </x:c>
      <x:c r="N160" s="33">
        <x:v>50012.92</x:v>
      </x:c>
    </x:row>
    <x:row r="161">
      <x:c r="A161" s="34">
        <x:v>44957</x:v>
      </x:c>
      <x:c r="B161" s="33">
        <x:v>0</x:v>
      </x:c>
      <x:c r="C161" s="33">
        <x:v>0</x:v>
      </x:c>
      <x:c r="D161" s="33">
        <x:v>0</x:v>
      </x:c>
      <x:c r="E161" s="33">
        <x:v>0</x:v>
      </x:c>
      <x:c r="F161" s="33">
        <x:v>0</x:v>
      </x:c>
      <x:c r="G161" s="33">
        <x:v>0</x:v>
      </x:c>
      <x:c r="H161" s="33">
        <x:v>0</x:v>
      </x:c>
      <x:c r="I161" s="33">
        <x:v>0</x:v>
      </x:c>
      <x:c r="J161" s="33">
        <x:v>0</x:v>
      </x:c>
      <x:c r="K161" s="33">
        <x:v>6435</x:v>
      </x:c>
      <x:c r="L161" s="33">
        <x:v>35</x:v>
      </x:c>
      <x:c r="M161" s="33">
        <x:v>357018</x:v>
      </x:c>
      <x:c r="N161" s="33">
        <x:v>56840.800000000003</x:v>
      </x:c>
    </x:row>
    <x:row r="162">
      <x:c r="A162" s="34">
        <x:v>44985</x:v>
      </x:c>
      <x:c r="B162" s="33">
        <x:v>45642</x:v>
      </x:c>
      <x:c r="C162" s="33">
        <x:v>40898</x:v>
      </x:c>
      <x:c r="D162" s="33">
        <x:v>-1.2</x:v>
      </x:c>
      <x:c r="E162" s="33">
        <x:v>7</x:v>
      </x:c>
      <x:c r="F162" s="33">
        <x:v>39412</x:v>
      </x:c>
      <x:c r="G162" s="33">
        <x:v>6230</x:v>
      </x:c>
      <x:c r="H162" s="33">
        <x:v>6965</x:v>
      </x:c>
      <x:c r="I162" s="33">
        <x:v>12493</x:v>
      </x:c>
      <x:c r="J162" s="33">
        <x:v>5627</x:v>
      </x:c>
      <x:c r="K162" s="33">
        <x:v>12196</x:v>
      </x:c>
      <x:c r="L162" s="33">
        <x:v>546</x:v>
      </x:c>
      <x:c r="M162" s="33">
        <x:v>362269</x:v>
      </x:c>
      <x:c r="N162" s="33">
        <x:v>61398.3</x:v>
      </x:c>
    </x:row>
    <x:row r="163">
      <x:c r="A163" s="34">
        <x:v>45016</x:v>
      </x:c>
      <x:c r="B163" s="33">
        <x:v>62341</x:v>
      </x:c>
      <x:c r="C163" s="33">
        <x:v>67915</x:v>
      </x:c>
      <x:c r="D163" s="33">
        <x:v>0.5</x:v>
      </x:c>
      <x:c r="E163" s="33">
        <x:v>6.8</x:v>
      </x:c>
      <x:c r="F163" s="33">
        <x:v>51707</x:v>
      </x:c>
      <x:c r="G163" s="33">
        <x:v>10634</x:v>
      </x:c>
      <x:c r="H163" s="33">
        <x:v>10825</x:v>
      </x:c>
      <x:c r="I163" s="33">
        <x:v>21066</x:v>
      </x:c>
      <x:c r="J163" s="33">
        <x:v>8728</x:v>
      </x:c>
      <x:c r="K163" s="33">
        <x:v>21096</x:v>
      </x:c>
      <x:c r="L163" s="33">
        <x:v>3624</x:v>
      </x:c>
      <x:c r="M163" s="33">
        <x:v>368091</x:v>
      </x:c>
      <x:c r="N163" s="33">
        <x:v>52986.64</x:v>
      </x:c>
    </x:row>
    <x:row r="164">
      <x:c r="A164" s="34">
        <x:v>45046</x:v>
      </x:c>
      <x:c r="B164" s="33">
        <x:v>83171</x:v>
      </x:c>
      <x:c r="C164" s="33">
        <x:v>86418</x:v>
      </x:c>
      <x:c r="D164" s="33">
        <x:v>11.9</x:v>
      </x:c>
      <x:c r="E164" s="33">
        <x:v>6.8</x:v>
      </x:c>
      <x:c r="F164" s="33">
        <x:v>70379</x:v>
      </x:c>
      <x:c r="G164" s="33">
        <x:v>12792</x:v>
      </x:c>
      <x:c r="H164" s="33">
        <x:v>14601</x:v>
      </x:c>
      <x:c r="I164" s="33">
        <x:v>27928</x:v>
      </x:c>
      <x:c r="J164" s="33">
        <x:v>11761</x:v>
      </x:c>
      <x:c r="K164" s="33">
        <x:v>27825</x:v>
      </x:c>
      <x:c r="L164" s="33">
        <x:v>7916</x:v>
      </x:c>
      <x:c r="M164" s="33">
        <x:v>370527</x:v>
      </x:c>
      <x:c r="N164" s="33">
        <x:v>58014.720000000001</x:v>
      </x:c>
    </x:row>
    <x:row r="165">
      <x:c r="A165" s="34">
        <x:v>45077</x:v>
      </x:c>
      <x:c r="B165" s="33">
        <x:v>99692</x:v>
      </x:c>
      <x:c r="C165" s="33">
        <x:v>104821</x:v>
      </x:c>
      <x:c r="D165" s="33">
        <x:v>14.9</x:v>
      </x:c>
      <x:c r="E165" s="33">
        <x:v>5.8</x:v>
      </x:c>
      <x:c r="F165" s="33">
        <x:v>84774</x:v>
      </x:c>
      <x:c r="G165" s="33">
        <x:v>14918</x:v>
      </x:c>
      <x:c r="H165" s="33">
        <x:v>18657</x:v>
      </x:c>
      <x:c r="I165" s="33">
        <x:v>34343</x:v>
      </x:c>
      <x:c r="J165" s="33">
        <x:v>14893</x:v>
      </x:c>
      <x:c r="K165" s="33">
        <x:v>35379</x:v>
      </x:c>
      <x:c r="L165" s="33">
        <x:v>10418</x:v>
      </x:c>
      <x:c r="M165" s="33">
        <x:v>375579</x:v>
      </x:c>
      <x:c r="N165" s="33">
        <x:v>60384.07</x:v>
      </x:c>
    </x:row>
    <x:row r="166">
      <x:c r="A166" s="34">
        <x:v>45107</x:v>
      </x:c>
      <x:c r="B166" s="33">
        <x:v>119203</x:v>
      </x:c>
      <x:c r="C166" s="33">
        <x:v>133893</x:v>
      </x:c>
      <x:c r="D166" s="33">
        <x:v>13.3</x:v>
      </x:c>
      <x:c r="E166" s="33">
        <x:v>3.9</x:v>
      </x:c>
      <x:c r="F166" s="33">
        <x:v>99661</x:v>
      </x:c>
      <x:c r="G166" s="33">
        <x:v>19542</x:v>
      </x:c>
      <x:c r="H166" s="33">
        <x:v>23506</x:v>
      </x:c>
      <x:c r="I166" s="33">
        <x:v>43222</x:v>
      </x:c>
      <x:c r="J166" s="33">
        <x:v>18687</x:v>
      </x:c>
      <x:c r="K166" s="33">
        <x:v>43681</x:v>
      </x:c>
      <x:c r="L166" s="33">
        <x:v>16335</x:v>
      </x:c>
      <x:c r="M166" s="33">
        <x:v>377999</x:v>
      </x:c>
      <x:c r="N166" s="33">
        <x:v>49888.25</x:v>
      </x:c>
    </x:row>
    <x:row r="167">
      <x:c r="A167" s="34">
        <x:v>45138</x:v>
      </x:c>
      <x:c r="B167" s="33">
        <x:v>139334</x:v>
      </x:c>
      <x:c r="C167" s="33">
        <x:v>151623</x:v>
      </x:c>
      <x:c r="D167" s="33">
        <x:v>11.5</x:v>
      </x:c>
      <x:c r="E167" s="33">
        <x:v>3.3</x:v>
      </x:c>
      <x:c r="F167" s="33">
        <x:v>117531</x:v>
      </x:c>
      <x:c r="G167" s="33">
        <x:v>21803</x:v>
      </x:c>
      <x:c r="H167" s="33">
        <x:v>28596</x:v>
      </x:c>
      <x:c r="I167" s="33">
        <x:v>49147</x:v>
      </x:c>
      <x:c r="J167" s="33">
        <x:v>22875</x:v>
      </x:c>
      <x:c r="K167" s="33">
        <x:v>49872</x:v>
      </x:c>
      <x:c r="L167" s="33">
        <x:v>20291</x:v>
      </x:c>
      <x:c r="M167" s="33">
        <x:v>380234</x:v>
      </x:c>
      <x:c r="N167" s="33">
        <x:v>58965.86</x:v>
      </x:c>
    </x:row>
    <x:row r="168">
      <x:c r="A168" s="34">
        <x:v>45169</x:v>
      </x:c>
      <x:c r="B168" s="33">
        <x:v>151796</x:v>
      </x:c>
      <x:c r="C168" s="33">
        <x:v>171382</x:v>
      </x:c>
      <x:c r="D168" s="33">
        <x:v>10</x:v>
      </x:c>
      <x:c r="E168" s="33">
        <x:v>3.8</x:v>
      </x:c>
      <x:c r="F168" s="33">
        <x:v>127885</x:v>
      </x:c>
      <x:c r="G168" s="33">
        <x:v>23911</x:v>
      </x:c>
      <x:c r="H168" s="33">
        <x:v>33974</x:v>
      </x:c>
      <x:c r="I168" s="33">
        <x:v>57218</x:v>
      </x:c>
      <x:c r="J168" s="33">
        <x:v>27096</x:v>
      </x:c>
      <x:c r="K168" s="33">
        <x:v>63032</x:v>
      </x:c>
      <x:c r="L168" s="33">
        <x:v>26205</x:v>
      </x:c>
      <x:c r="M168" s="33">
        <x:v>387480</x:v>
      </x:c>
      <x:c r="N168" s="33">
        <x:v>58878.32</x:v>
      </x:c>
    </x:row>
    <x:row r="169">
      <x:c r="A169" s="34">
        <x:v>45199</x:v>
      </x:c>
      <x:c r="B169" s="33">
        <x:v>166713</x:v>
      </x:c>
      <x:c r="C169" s="33">
        <x:v>197897</x:v>
      </x:c>
      <x:c r="D169" s="33">
        <x:v>8.9</x:v>
      </x:c>
      <x:c r="E169" s="33">
        <x:v>3.9</x:v>
      </x:c>
      <x:c r="F169" s="33">
        <x:v>139105</x:v>
      </x:c>
      <x:c r="G169" s="33">
        <x:v>27608</x:v>
      </x:c>
      <x:c r="H169" s="33">
        <x:v>38683</x:v>
      </x:c>
      <x:c r="I169" s="33">
        <x:v>66368</x:v>
      </x:c>
      <x:c r="J169" s="33">
        <x:v>30875</x:v>
      </x:c>
      <x:c r="K169" s="33">
        <x:v>70783</x:v>
      </x:c>
      <x:c r="L169" s="33">
        <x:v>32439</x:v>
      </x:c>
      <x:c r="M169" s="33">
        <x:v>388996</x:v>
      </x:c>
      <x:c r="N169" s="33">
        <x:v>56750.59</x:v>
      </x:c>
    </x:row>
    <x:row r="170">
      <x:c r="A170" s="34">
        <x:v>45230</x:v>
      </x:c>
      <x:c r="B170" s="33">
        <x:v>187494</x:v>
      </x:c>
      <x:c r="C170" s="33">
        <x:v>215734</x:v>
      </x:c>
      <x:c r="D170" s="33">
        <x:v>8.1</x:v>
      </x:c>
      <x:c r="E170" s="33">
        <x:v>4.5999999999999996</x:v>
      </x:c>
      <x:c r="F170" s="33">
        <x:v>157841</x:v>
      </x:c>
      <x:c r="G170" s="33">
        <x:v>29653</x:v>
      </x:c>
      <x:c r="H170" s="33">
        <x:v>43795</x:v>
      </x:c>
      <x:c r="I170" s="33">
        <x:v>72899</x:v>
      </x:c>
      <x:c r="J170" s="33">
        <x:v>34992</x:v>
      </x:c>
      <x:c r="K170" s="33">
        <x:v>84746</x:v>
      </x:c>
      <x:c r="L170" s="33">
        <x:v>34387</x:v>
      </x:c>
      <x:c r="M170" s="33">
        <x:v>401011</x:v>
      </x:c>
      <x:c r="N170" s="33">
        <x:v>70411.12</x:v>
      </x:c>
    </x:row>
    <x:row r="171">
      <x:c r="A171" s="34">
        <x:v>45260</x:v>
      </x:c>
      <x:c r="B171" s="33">
        <x:v>200131</x:v>
      </x:c>
      <x:c r="C171" s="33">
        <x:v>238462</x:v>
      </x:c>
      <x:c r="D171" s="33">
        <x:v>7.9</x:v>
      </x:c>
      <x:c r="E171" s="33">
        <x:v>4.9000000000000004</x:v>
      </x:c>
      <x:c r="F171" s="33">
        <x:v>168420</x:v>
      </x:c>
      <x:c r="G171" s="33">
        <x:v>31711</x:v>
      </x:c>
      <x:c r="H171" s="33">
        <x:v>51884</x:v>
      </x:c>
      <x:c r="I171" s="33">
        <x:v>83181</x:v>
      </x:c>
      <x:c r="J171" s="33">
        <x:v>42031</x:v>
      </x:c>
      <x:c r="K171" s="33">
        <x:v>91418</x:v>
      </x:c>
      <x:c r="L171" s="33">
        <x:v>35685</x:v>
      </x:c>
      <x:c r="M171" s="33">
        <x:v>406386</x:v>
      </x:c>
      <x:c r="N171" s="33">
        <x:v>67118.350000000006</x:v>
      </x:c>
    </x:row>
    <x:row r="172">
      <x:c r="A172" s="34">
        <x:v>45291</x:v>
      </x:c>
      <x:c r="B172" s="33">
        <x:v>216784</x:v>
      </x:c>
      <x:c r="C172" s="33">
        <x:v>274574</x:v>
      </x:c>
      <x:c r="D172" s="33">
        <x:v>6.4</x:v>
      </x:c>
      <x:c r="E172" s="33">
        <x:v>5.4</x:v>
      </x:c>
      <x:c r="F172" s="33">
        <x:v>181129</x:v>
      </x:c>
      <x:c r="G172" s="33">
        <x:v>35655</x:v>
      </x:c>
      <x:c r="H172" s="33">
        <x:v>70705</x:v>
      </x:c>
      <x:c r="I172" s="33">
        <x:v>101339</x:v>
      </x:c>
      <x:c r="J172" s="33">
        <x:v>57996</x:v>
      </x:c>
      <x:c r="K172" s="33">
        <x:v>93374</x:v>
      </x:c>
      <x:c r="L172" s="33">
        <x:v>36658</x:v>
      </x:c>
      <x:c r="M172" s="33">
        <x:v>407373</x:v>
      </x:c>
      <x:c r="N172" s="33">
        <x:v>57937.13</x:v>
      </x:c>
    </x:row>
    <x:row r="173">
      <x:c r="A173" s="34">
        <x:v>45322</x:v>
      </x:c>
      <x:c r="B173" s="33">
        <x:v>0</x:v>
      </x:c>
      <x:c r="C173" s="33">
        <x:v>0</x:v>
      </x:c>
      <x:c r="D173" s="33">
        <x:v>0</x:v>
      </x:c>
      <x:c r="E173" s="33">
        <x:v>0</x:v>
      </x:c>
      <x:c r="F173" s="33">
        <x:v>0</x:v>
      </x:c>
      <x:c r="G173" s="33">
        <x:v>0</x:v>
      </x:c>
      <x:c r="H173" s="33">
        <x:v>0</x:v>
      </x:c>
      <x:c r="I173" s="33">
        <x:v>0</x:v>
      </x:c>
      <x:c r="J173" s="33">
        <x:v>0</x:v>
      </x:c>
      <x:c r="K173" s="33">
        <x:v>3845</x:v>
      </x:c>
      <x:c r="L173" s="33">
        <x:v>1258</x:v>
      </x:c>
      <x:c r="M173" s="33">
        <x:v>409959</x:v>
      </x:c>
      <x:c r="N173" s="33">
        <x:v>66540.81</x:v>
      </x:c>
    </x:row>
    <x:row r="174">
      <x:c r="A174" s="34">
        <x:v>45351</x:v>
      </x:c>
      <x:c r="B174" s="33">
        <x:v>44585</x:v>
      </x:c>
      <x:c r="C174" s="33">
        <x:v>43624</x:v>
      </x:c>
      <x:c r="D174" s="33">
        <x:v>-2.2999999999999998</x:v>
      </x:c>
      <x:c r="E174" s="33">
        <x:v>6.7</x:v>
      </x:c>
      <x:c r="F174" s="33">
        <x:v>37820</x:v>
      </x:c>
      <x:c r="G174" s="33">
        <x:v>6765</x:v>
      </x:c>
      <x:c r="H174" s="33">
        <x:v>7149</x:v>
      </x:c>
      <x:c r="I174" s="33">
        <x:v>11223</x:v>
      </x:c>
      <x:c r="J174" s="33">
        <x:v>5625</x:v>
      </x:c>
      <x:c r="K174" s="33">
        <x:v>9444</x:v>
      </x:c>
      <x:c r="L174" s="33">
        <x:v>2725</x:v>
      </x:c>
      <x:c r="M174" s="33">
        <x:v>414092</x:v>
      </x:c>
      <x:c r="N174" s="33">
        <x:v>62743.55</x:v>
      </x:c>
    </x:row>
    <x:row r="175">
      <x:c r="A175" s="34">
        <x:v>45382</x:v>
      </x:c>
      <x:c r="B175" s="33">
        <x:v>60877</x:v>
      </x:c>
      <x:c r="C175" s="33">
        <x:v>69856</x:v>
      </x:c>
      <x:c r="D175" s="33">
        <x:v>-2.2999999999999998</x:v>
      </x:c>
      <x:c r="E175" s="33">
        <x:v>2.9</x:v>
      </x:c>
      <x:c r="F175" s="33">
        <x:v>49172</x:v>
      </x:c>
      <x:c r="G175" s="33">
        <x:v>11705</x:v>
      </x:c>
      <x:c r="H175" s="33">
        <x:v>10394</x:v>
      </x:c>
      <x:c r="I175" s="33">
        <x:v>17798</x:v>
      </x:c>
      <x:c r="J175" s="33">
        <x:v>8147</x:v>
      </x:c>
      <x:c r="K175" s="33">
        <x:v>15739</x:v>
      </x:c>
      <x:c r="L175" s="33">
        <x:v>6172</x:v>
      </x:c>
      <x:c r="M175" s="33">
        <x:v>416940</x:v>
      </x:c>
      <x:c r="N175" s="33">
        <x:v>55082.19</x:v>
      </x:c>
    </x:row>
    <x:row r="176">
      <x:c r="A176" s="34">
        <x:v>45412</x:v>
      </x:c>
      <x:c r="B176" s="33">
        <x:v>80926</x:v>
      </x:c>
      <x:c r="C176" s="33">
        <x:v>89483</x:v>
      </x:c>
      <x:c r="D176" s="33">
        <x:v>-2.7</x:v>
      </x:c>
      <x:c r="E176" s="33">
        <x:v>3.5</x:v>
      </x:c>
      <x:c r="F176" s="33">
        <x:v>66938</x:v>
      </x:c>
      <x:c r="G176" s="33">
        <x:v>13988</x:v>
      </x:c>
      <x:c r="H176" s="33">
        <x:v>13484</x:v>
      </x:c>
      <x:c r="I176" s="33">
        <x:v>22198</x:v>
      </x:c>
      <x:c r="J176" s="33">
        <x:v>10536</x:v>
      </x:c>
      <x:c r="K176" s="33">
        <x:v>19178</x:v>
      </x:c>
      <x:c r="L176" s="33">
        <x:v>9062</x:v>
      </x:c>
      <x:c r="M176" s="33">
        <x:v>417489</x:v>
      </x:c>
      <x:c r="N176" s="33">
        <x:v>56062.8</x:v>
      </x:c>
    </x:row>
    <x:row r="177">
      <x:c r="A177" s="34">
        <x:v>45443</x:v>
      </x:c>
      <x:c r="B177" s="33">
        <x:v>96912</x:v>
      </x:c>
      <x:c r="C177" s="33">
        <x:v>108359</x:v>
      </x:c>
      <x:c r="D177" s="33">
        <x:v>-2.8</x:v>
      </x:c>
      <x:c r="E177" s="33">
        <x:v>3.4</x:v>
      </x:c>
      <x:c r="F177" s="33">
        <x:v>80462</x:v>
      </x:c>
      <x:c r="G177" s="33">
        <x:v>16450</x:v>
      </x:c>
      <x:c r="H177" s="33">
        <x:v>16638</x:v>
      </x:c>
      <x:c r="I177" s="33">
        <x:v>27704</x:v>
      </x:c>
      <x:c r="J177" s="33">
        <x:v>12810</x:v>
      </x:c>
      <x:c r="K177" s="33">
        <x:v>28213</x:v>
      </x:c>
      <x:c r="L177" s="33">
        <x:v>11748</x:v>
      </x:c>
      <x:c r="M177" s="33">
        <x:v>423838</x:v>
      </x:c>
      <x:c r="N177" s="33">
        <x:v>63696</x:v>
      </x:c>
    </x:row>
    <x:row r="178">
      <x:c r="A178" s="34">
        <x:v>45473</x:v>
      </x:c>
      <x:c r="B178" s="33">
        <x:v>115913</x:v>
      </x:c>
      <x:c r="C178" s="33">
        <x:v>136571</x:v>
      </x:c>
      <x:c r="D178" s="33">
        <x:v>-2.8</x:v>
      </x:c>
      <x:c r="E178" s="33">
        <x:v>2</x:v>
      </x:c>
      <x:c r="F178" s="33">
        <x:v>94080</x:v>
      </x:c>
      <x:c r="G178" s="33">
        <x:v>21833</x:v>
      </x:c>
      <x:c r="H178" s="33">
        <x:v>19915</x:v>
      </x:c>
      <x:c r="I178" s="33">
        <x:v>35599</x:v>
      </x:c>
      <x:c r="J178" s="33">
        <x:v>15263</x:v>
      </x:c>
      <x:c r="K178" s="33">
        <x:v>34928</x:v>
      </x:c>
      <x:c r="L178" s="33">
        <x:v>16203</x:v>
      </x:c>
      <x:c r="M178" s="33">
        <x:v>426098</x:v>
      </x:c>
      <x:c r="N178" s="33">
        <x:v>55502.91</x:v>
      </x:c>
    </x:row>
    <x:row r="179">
      <x:c r="A179" s="34">
        <x:v>45504</x:v>
      </x:c>
      <x:c r="B179" s="33">
        <x:v>135663</x:v>
      </x:c>
      <x:c r="C179" s="33">
        <x:v>155463</x:v>
      </x:c>
      <x:c r="D179" s="33">
        <x:v>-2.6</x:v>
      </x:c>
      <x:c r="E179" s="33">
        <x:v>2.5</x:v>
      </x:c>
      <x:c r="F179" s="33">
        <x:v>111240</x:v>
      </x:c>
      <x:c r="G179" s="33">
        <x:v>24423</x:v>
      </x:c>
      <x:c r="H179" s="33">
        <x:v>23295</x:v>
      </x:c>
      <x:c r="I179" s="33">
        <x:v>41228</x:v>
      </x:c>
      <x:c r="J179" s="33">
        <x:v>17763</x:v>
      </x:c>
      <x:c r="K179" s="33">
        <x:v>42036</x:v>
      </x:c>
      <x:c r="L179" s="33">
        <x:v>21400</x:v>
      </x:c>
      <x:c r="M179" s="33">
        <x:v>428009</x:v>
      </x:c>
      <x:c r="N179" s="33">
        <x:v>61956.34</x:v>
      </x:c>
    </x:row>
    <x:row r="180">
      <x:c r="A180" s="34">
        <x:v>45535</x:v>
      </x:c>
      <x:c r="B180" s="33">
        <x:v>147776</x:v>
      </x:c>
      <x:c r="C180" s="33">
        <x:v>173898</x:v>
      </x:c>
      <x:c r="D180" s="33">
        <x:v>-2.6</x:v>
      </x:c>
      <x:c r="E180" s="33">
        <x:v>1.5</x:v>
      </x:c>
      <x:c r="F180" s="33">
        <x:v>121059</x:v>
      </x:c>
      <x:c r="G180" s="33">
        <x:v>26717</x:v>
      </x:c>
      <x:c r="H180" s="33">
        <x:v>26821</x:v>
      </x:c>
      <x:c r="I180" s="33">
        <x:v>48171</x:v>
      </x:c>
      <x:c r="J180" s="33">
        <x:v>20218</x:v>
      </x:c>
      <x:c r="K180" s="33">
        <x:v>54128</x:v>
      </x:c>
      <x:c r="L180" s="33">
        <x:v>25204</x:v>
      </x:c>
      <x:c r="M180" s="33">
        <x:v>436297</x:v>
      </x:c>
      <x:c r="N180" s="33">
        <x:v>67543.210000000006</x:v>
      </x:c>
    </x:row>
    <x:row r="181">
      <x:c r="A181" s="34">
        <x:v>45565</x:v>
      </x:c>
      <x:c r="B181" s="33">
        <x:v>163059</x:v>
      </x:c>
      <x:c r="C181" s="33">
        <x:v>201779</x:v>
      </x:c>
      <x:c r="D181" s="33">
        <x:v>-2.2000000000000002</x:v>
      </x:c>
      <x:c r="E181" s="33">
        <x:v>2</x:v>
      </x:c>
      <x:c r="F181" s="33">
        <x:v>131715</x:v>
      </x:c>
      <x:c r="G181" s="33">
        <x:v>31344</x:v>
      </x:c>
      <x:c r="H181" s="33">
        <x:v>30861</x:v>
      </x:c>
      <x:c r="I181" s="33">
        <x:v>60448</x:v>
      </x:c>
      <x:c r="J181" s="33">
        <x:v>23287</x:v>
      </x:c>
      <x:c r="K181" s="33">
        <x:v>67021</x:v>
      </x:c>
      <x:c r="L181" s="33">
        <x:v>26991</x:v>
      </x:c>
      <x:c r="M181" s="33">
        <x:v>447403</x:v>
      </x:c>
      <x:c r="N181" s="33">
        <x:v>65185.15</x:v>
      </x:c>
    </x:row>
    <x:row r="182">
      <x:c r="A182" s="34">
        <x:v>45596</x:v>
      </x:c>
      <x:c r="B182" s="33">
        <x:v>184981</x:v>
      </x:c>
      <x:c r="C182" s="33">
        <x:v>221465</x:v>
      </x:c>
      <x:c r="D182" s="33">
        <x:v>-1.3</x:v>
      </x:c>
      <x:c r="E182" s="33">
        <x:v>2.7</x:v>
      </x:c>
      <x:c r="F182" s="33">
        <x:v>150782</x:v>
      </x:c>
      <x:c r="G182" s="33">
        <x:v>34199</x:v>
      </x:c>
      <x:c r="H182" s="33">
        <x:v>35462</x:v>
      </x:c>
      <x:c r="I182" s="33">
        <x:v>70107</x:v>
      </x:c>
      <x:c r="J182" s="33">
        <x:v>26971</x:v>
      </x:c>
      <x:c r="K182" s="33">
        <x:v>73882</x:v>
      </x:c>
      <x:c r="L182" s="33">
        <x:v>28094</x:v>
      </x:c>
      <x:c r="M182" s="33">
        <x:v>453160</x:v>
      </x:c>
      <x:c r="N182" s="33">
        <x:v>71149.19</x:v>
      </x:c>
    </x:row>
    <x:row r="183">
      <x:c r="A183" s="34">
        <x:v>45626</x:v>
      </x:c>
      <x:c r="B183" s="33">
        <x:v>199010</x:v>
      </x:c>
      <x:c r="C183" s="33">
        <x:v>245053</x:v>
      </x:c>
      <x:c r="D183" s="33">
        <x:v>-0.6</x:v>
      </x:c>
      <x:c r="E183" s="33">
        <x:v>2.8</x:v>
      </x:c>
      <x:c r="F183" s="33">
        <x:v>161922</x:v>
      </x:c>
      <x:c r="G183" s="33">
        <x:v>37088</x:v>
      </x:c>
      <x:c r="H183" s="33">
        <x:v>42348</x:v>
      </x:c>
      <x:c r="I183" s="33">
        <x:v>81038</x:v>
      </x:c>
      <x:c r="J183" s="33">
        <x:v>32626</x:v>
      </x:c>
      <x:c r="K183" s="33">
        <x:v>87023</x:v>
      </x:c>
      <x:c r="L183" s="33">
        <x:v>29422</x:v>
      </x:c>
      <x:c r="M183" s="33">
        <x:v>464974</x:v>
      </x:c>
      <x:c r="N183" s="33">
        <x:v>72557.14</x:v>
      </x:c>
    </x:row>
    <x:row r="184">
      <x:c r="A184" s="34">
        <x:v>45657</x:v>
      </x:c>
      <x:c r="B184" s="33">
        <x:v>219702</x:v>
      </x:c>
      <x:c r="C184" s="33">
        <x:v>284612</x:v>
      </x:c>
      <x:c r="D184" s="33">
        <x:v>1.3</x:v>
      </x:c>
      <x:c r="E184" s="33">
        <x:v>3.6</x:v>
      </x:c>
      <x:c r="F184" s="33">
        <x:v>174972</x:v>
      </x:c>
      <x:c r="G184" s="33">
        <x:v>44730</x:v>
      </x:c>
      <x:c r="H184" s="33">
        <x:v>62090</x:v>
      </x:c>
      <x:c r="I184" s="33">
        <x:v>101478</x:v>
      </x:c>
      <x:c r="J184" s="33">
        <x:v>48699</x:v>
      </x:c>
      <x:c r="K184" s="33">
        <x:v>97936</x:v>
      </x:c>
      <x:c r="L184" s="33">
        <x:v>29880</x:v>
      </x:c>
      <x:c r="M184" s="33">
        <x:v>475371</x:v>
      </x:c>
      <x:c r="N184" s="33">
        <x:v>55812.160000000003</x:v>
      </x:c>
    </x:row>
    <x:row r="185">
      <x:c r="A185" s="34">
        <x:v>45688</x:v>
      </x:c>
      <x:c r="B185" s="33">
        <x:v>0</x:v>
      </x:c>
      <x:c r="C185" s="33">
        <x:v>0</x:v>
      </x:c>
      <x:c r="D185" s="33">
        <x:v>0</x:v>
      </x:c>
      <x:c r="E185" s="33">
        <x:v>0</x:v>
      </x:c>
      <x:c r="F185" s="33">
        <x:v>0</x:v>
      </x:c>
      <x:c r="G185" s="33">
        <x:v>0</x:v>
      </x:c>
      <x:c r="H185" s="33">
        <x:v>0</x:v>
      </x:c>
      <x:c r="I185" s="33">
        <x:v>0</x:v>
      </x:c>
      <x:c r="J185" s="33">
        <x:v>0</x:v>
      </x:c>
      <x:c r="K185" s="33">
        <x:v>5575</x:v>
      </x:c>
      <x:c r="L185" s="33">
        <x:v>815</x:v>
      </x:c>
      <x:c r="M185" s="33">
        <x:v>480131</x:v>
      </x:c>
      <x:c r="N185" s="33">
        <x:v>59562.94</x:v>
      </x:c>
    </x:row>
    <x:row r="186">
      <x:c r="A186" s="34">
        <x:v>45716</x:v>
      </x:c>
      <x:c r="B186" s="33">
        <x:v>43856</x:v>
      </x:c>
      <x:c r="C186" s="33">
        <x:v>45096</x:v>
      </x:c>
      <x:c r="D186" s="33">
        <x:v>-1.6</x:v>
      </x:c>
      <x:c r="E186" s="33">
        <x:v>3.4</x:v>
      </x:c>
      <x:c r="F186" s="33">
        <x:v>36349</x:v>
      </x:c>
      <x:c r="G186" s="33">
        <x:v>7507</x:v>
      </x:c>
      <x:c r="H186" s="33">
        <x:v>6381</x:v>
      </x:c>
      <x:c r="I186" s="33">
        <x:v>11358</x:v>
      </x:c>
      <x:c r="J186" s="33">
        <x:v>4744</x:v>
      </x:c>
      <x:c r="K186" s="33">
        <x:v>18633</x:v>
      </x:c>
      <x:c r="L186" s="33">
        <x:v>1145</x:v>
      </x:c>
      <x:c r="M186" s="33">
        <x:v>492859</x:v>
      </x:c>
      <x:c r="N186" s="33">
        <x:v>72116.149999999994</x:v>
      </x:c>
    </x:row>
    <x:row r="187">
      <x:c r="A187" s="34">
        <x:v>45747</x:v>
      </x:c>
      <x:c r="B187" s="33">
        <x:v>60189</x:v>
      </x:c>
      <x:c r="C187" s="33">
        <x:v>72815</x:v>
      </x:c>
      <x:c r="D187" s="33">
        <x:v>-1.1000000000000001</x:v>
      </x:c>
      <x:c r="E187" s="33">
        <x:v>4.2</x:v>
      </x:c>
      <x:c r="F187" s="33">
        <x:v>47450</x:v>
      </x:c>
      <x:c r="G187" s="33">
        <x:v>12739</x:v>
      </x:c>
      <x:c r="H187" s="33">
        <x:v>9247</x:v>
      </x:c>
      <x:c r="I187" s="33">
        <x:v>19769</x:v>
      </x:c>
      <x:c r="J187" s="33">
        <x:v>6849</x:v>
      </x:c>
      <x:c r="K187" s="33">
        <x:v>28421</x:v>
      </x:c>
      <x:c r="L187" s="33">
        <x:v>2141</x:v>
      </x:c>
      <x:c r="M187" s="33">
        <x:v>501650</x:v>
      </x:c>
      <x:c r="N187" s="33">
        <x:v>64428.49</x:v>
      </x:c>
    </x:row>
    <x:row r="188">
      <x:c r="A188" s="34">
        <x:v>45777</x:v>
      </x:c>
      <x:c r="B188" s="33">
        <x:v>80616</x:v>
      </x:c>
      <x:c r="C188" s="33">
        <x:v>93581</x:v>
      </x:c>
      <x:c r="D188" s="33">
        <x:v>-0.4</x:v>
      </x:c>
      <x:c r="E188" s="33">
        <x:v>4.5999999999999996</x:v>
      </x:c>
      <x:c r="F188" s="33">
        <x:v>65556</x:v>
      </x:c>
      <x:c r="G188" s="33">
        <x:v>15060</x:v>
      </x:c>
      <x:c r="H188" s="33">
        <x:v>12586</x:v>
      </x:c>
      <x:c r="I188" s="33">
        <x:v>26136</x:v>
      </x:c>
      <x:c r="J188" s="33">
        <x:v>9340</x:v>
      </x:c>
      <x:c r="K188" s="33">
        <x:v>35354</x:v>
      </x:c>
      <x:c r="L188" s="33">
        <x:v>3793</x:v>
      </x:c>
      <x:c r="M188" s="33">
        <x:v>506931</x:v>
      </x:c>
      <x:c r="N188" s="33">
        <x:v>68100.960000000006</x:v>
      </x:c>
    </x:row>
    <x:row r="189">
      <x:c r="A189" s="34">
        <x:v>45808</x:v>
      </x:c>
      <x:c r="B189" s="33">
        <x:v>96623</x:v>
      </x:c>
      <x:c r="C189" s="33">
        <x:v>112953</x:v>
      </x:c>
      <x:c r="D189" s="33">
        <x:v>-0.3</x:v>
      </x:c>
      <x:c r="E189" s="33">
        <x:v>4.2</x:v>
      </x:c>
      <x:c r="F189" s="33">
        <x:v>79156</x:v>
      </x:c>
      <x:c r="G189" s="33">
        <x:v>17467</x:v>
      </x:c>
      <x:c r="H189" s="33">
        <x:v>15483</x:v>
      </x:c>
      <x:c r="I189" s="33">
        <x:v>32125</x:v>
      </x:c>
      <x:c r="J189" s="33">
        <x:v>11281</x:v>
      </x:c>
      <x:c r="K189" s="33">
        <x:v>43148</x:v>
      </x:c>
      <x:c r="L189" s="33">
        <x:v>6044</x:v>
      </x:c>
      <x:c r="M189" s="33">
        <x:v>512475</x:v>
      </x:c>
      <x:c r="N189" s="33">
        <x:v>76942.86</x:v>
      </x:c>
    </x:row>
    <x:row r="190">
      <x:c r="A190" s="34">
        <x:v>45838</x:v>
      </x:c>
      <x:c r="B190" s="33">
        <x:v>115566</x:v>
      </x:c>
      <x:c r="C190" s="33">
        <x:v>141271</x:v>
      </x:c>
      <x:c r="D190" s="33">
        <x:v>-0.3</x:v>
      </x:c>
      <x:c r="E190" s="33">
        <x:v>3.4</x:v>
      </x:c>
      <x:c r="F190" s="33">
        <x:v>92915</x:v>
      </x:c>
      <x:c r="G190" s="33">
        <x:v>22651</x:v>
      </x:c>
      <x:c r="H190" s="33">
        <x:v>19442</x:v>
      </x:c>
      <x:c r="I190" s="33">
        <x:v>46273</x:v>
      </x:c>
      <x:c r="J190" s="33">
        <x:v>14271</x:v>
      </x:c>
      <x:c r="K190" s="33">
        <x:v>54902</x:v>
      </x:c>
      <x:c r="L190" s="33">
        <x:v>10769</x:v>
      </x:c>
      <x:c r="M190" s="33">
        <x:v>519503</x:v>
      </x:c>
      <x:c r="N190" s="33">
        <x:v>68776.600000000006</x:v>
      </x:c>
    </x:row>
    <x:row r="191">
      <x:c r="A191" s="34">
        <x:v>45869</x:v>
      </x:c>
      <x:c r="B191" s="33">
        <x:v>135839</x:v>
      </x:c>
      <x:c r="C191" s="33">
        <x:v>160737</x:v>
      </x:c>
      <x:c r="D191" s="33">
        <x:v>0.1</x:v>
      </x:c>
      <x:c r="E191" s="33">
        <x:v>3.4</x:v>
      </x:c>
      <x:c r="F191" s="33">
        <x:v>110933</x:v>
      </x:c>
      <x:c r="G191" s="33">
        <x:v>24906</x:v>
      </x:c>
      <x:c r="H191" s="33">
        <x:v>23124</x:v>
      </x:c>
      <x:c r="I191" s="33">
        <x:v>54287</x:v>
      </x:c>
      <x:c r="J191" s="33">
        <x:v>16950</x:v>
      </x:c>
      <x:c r="K191" s="33">
        <x:v>67036</x:v>
      </x:c>
      <x:c r="L191" s="33">
        <x:v>14780</x:v>
      </x:c>
      <x:c r="M191" s="33">
        <x:v>527627</x:v>
      </x:c>
      <x:c r="N191" s="33">
        <x:v>76452.86</x:v>
      </x:c>
    </x:row>
    <x:row r="192">
      <x:c r="A192" s="34">
        <x:v>45900</x:v>
      </x:c>
      <x:c r="B192" s="33">
        <x:v>148198</x:v>
      </x:c>
      <x:c r="C192" s="33">
        <x:v>179324</x:v>
      </x:c>
      <x:c r="D192" s="33">
        <x:v>0.3</x:v>
      </x:c>
      <x:c r="E192" s="33">
        <x:v>3.1</x:v>
      </x:c>
      <x:c r="F192" s="33">
        <x:v>121085</x:v>
      </x:c>
      <x:c r="G192" s="33">
        <x:v>27113</x:v>
      </x:c>
      <x:c r="H192" s="33">
        <x:v>26449</x:v>
      </x:c>
      <x:c r="I192" s="33">
        <x:v>62602</x:v>
      </x:c>
      <x:c r="J192" s="33">
        <x:v>19263</x:v>
      </x:c>
      <x:c r="K192" s="33">
        <x:v>76838</x:v>
      </x:c>
      <x:c r="L192" s="33">
        <x:v>19755</x:v>
      </x:c>
      <x:c r="M192" s="33">
        <x:v>532484</x:v>
      </x:c>
      <x:c r="N192" s="33">
        <x:v>78348.39</x:v>
      </x:c>
    </x:row>
    <x:row r="193">
      <x:c r="A193" s="34">
        <x:v>45930</x:v>
      </x:c>
      <x:c r="B193" s="33">
        <x:v>163876</x:v>
      </x:c>
      <x:c r="C193" s="33">
        <x:v>208064</x:v>
      </x:c>
      <x:c r="D193" s="33">
        <x:v>0.5</x:v>
      </x:c>
      <x:c r="E193" s="33">
        <x:v>3.1</x:v>
      </x:c>
      <x:c r="F193" s="33">
        <x:v>132664</x:v>
      </x:c>
      <x:c r="G193" s="33">
        <x:v>31212</x:v>
      </x:c>
      <x:c r="H193" s="33">
        <x:v>30717</x:v>
      </x:c>
      <x:c r="I193" s="33">
        <x:v>74924</x:v>
      </x:c>
      <x:c r="J193" s="33">
        <x:v>22302</x:v>
      </x:c>
      <x:c r="K193" s="33">
        <x:v>85457</x:v>
      </x:c>
      <x:c r="L193" s="33">
        <x:v>23863</x:v>
      </x:c>
      <x:c r="M193" s="33">
        <x:v>536995</x:v>
      </x:c>
      <x:c r="N193" s="33">
        <x:v>69906.509999999995</x:v>
      </x:c>
    </x:row>
    <x:row r="194">
      <x:c r="A194" s="34">
        <x:v>45961</x:v>
      </x:c>
      <x:c r="B194" s="33">
        <x:v>186490</x:v>
      </x:c>
      <x:c r="C194" s="33">
        <x:v>225825</x:v>
      </x:c>
      <x:c r="D194" s="33">
        <x:v>0.8</x:v>
      </x:c>
      <x:c r="E194" s="33">
        <x:v>2</x:v>
      </x:c>
      <x:c r="F194" s="33">
        <x:v>153364</x:v>
      </x:c>
      <x:c r="G194" s="33">
        <x:v>33126</x:v>
      </x:c>
      <x:c r="H194" s="33">
        <x:v>34473</x:v>
      </x:c>
      <x:c r="I194" s="33">
        <x:v>80892</x:v>
      </x:c>
      <x:c r="J194" s="33">
        <x:v>24982</x:v>
      </x:c>
      <x:c r="K194" s="33">
        <x:v>91137</x:v>
      </x:c>
      <x:c r="L194" s="33">
        <x:v>26432</x:v>
      </x:c>
      <x:c r="M194" s="33">
        <x:v>540106</x:v>
      </x:c>
      <x:c r="N194" s="33">
        <x:v>77128.52</x:v>
      </x:c>
    </x:row>
    <x:row r="195">
      <x:c r="A195" s="34">
        <x:v>45991</x:v>
      </x:c>
      <x:c r="B195" s="33">
        <x:v>200516</x:v>
      </x:c>
      <x:c r="C195" s="33">
        <x:v>248538</x:v>
      </x:c>
      <x:c r="D195" s="33">
        <x:v>0.8</x:v>
      </x:c>
      <x:c r="E195" s="33">
        <x:v>1.4</x:v>
      </x:c>
      <x:c r="F195" s="33">
        <x:v>164814</x:v>
      </x:c>
      <x:c r="G195" s="33">
        <x:v>35702</x:v>
      </x:c>
      <x:c r="H195" s="33">
        <x:v>40274</x:v>
      </x:c>
      <x:c r="I195" s="33">
        <x:v>92124</x:v>
      </x:c>
      <x:c r="J195" s="33">
        <x:v>29119</x:v>
      </x:c>
      <x:c r="K195" s="33">
        <x:v>100264</x:v>
      </x:c>
      <x:c r="L195" s="33">
        <x:v>29068</x:v>
      </x:c>
      <x:c r="M195" s="33">
        <x:v>546597</x:v>
      </x:c>
      <x:c r="N195" s="33">
        <x:v>76662.5</x:v>
      </x:c>
    </x:row>
    <x:row r="196">
      <x:c r="A196" s="34">
        <x:v>46022</x:v>
      </x:c>
      <x:c r="B196" s="33">
        <x:v>216045</x:v>
      </x:c>
      <x:c r="C196" s="33">
        <x:v>287395</x:v>
      </x:c>
      <x:c r="D196" s="33">
        <x:v>-1.7</x:v>
      </x:c>
      <x:c r="E196" s="33">
        <x:v>1</x:v>
      </x:c>
      <x:c r="F196" s="33">
        <x:v>176363</x:v>
      </x:c>
      <x:c r="G196" s="33">
        <x:v>39682</x:v>
      </x:c>
      <x:c r="H196" s="33">
        <x:v>57704</x:v>
      </x:c>
      <x:c r="I196" s="33">
        <x:v>112874</x:v>
      </x:c>
      <x:c r="J196" s="33">
        <x:v>41518</x:v>
      </x:c>
      <x:c r="K196" s="33">
        <x:v>103101</x:v>
      </x:c>
      <x:c r="L196" s="33">
        <x:v>30254</x:v>
      </x:c>
      <x:c r="M196" s="33">
        <x:v>548231</x:v>
      </x:c>
      <x:c r="N196" s="33">
        <x:v>62817.62</x:v>
      </x:c>
    </x:row>
    <x:row r="197">
      <x:c r="A197" s="34">
        <x:v>46053</x:v>
      </x:c>
      <x:c r="B197" s="33">
        <x:v>0</x:v>
      </x:c>
      <x:c r="C197" s="33">
        <x:v>0</x:v>
      </x:c>
      <x:c r="D197" s="33">
        <x:v>0</x:v>
      </x:c>
      <x:c r="E197" s="33">
        <x:v>0</x:v>
      </x:c>
      <x:c r="F197" s="33">
        <x:v>0</x:v>
      </x:c>
      <x:c r="G197" s="33">
        <x:v>0</x:v>
      </x:c>
      <x:c r="H197" s="33">
        <x:v>0</x:v>
      </x:c>
      <x:c r="I197" s="33">
        <x:v>0</x:v>
      </x:c>
      <x:c r="J197" s="33">
        <x:v>0</x:v>
      </x:c>
      <x:c r="K197" s="33">
        <x:v>8634</x:v>
      </x:c>
      <x:c r="L197" s="33">
        <x:v>1091</x:v>
      </x:c>
      <x:c r="M197" s="33">
        <x:v>555774</x:v>
      </x:c>
      <x:c r="N197" s="33">
        <x:v>78715.17</x:v>
      </x:c>
    </x:row>
    <x:row r="198">
      <x:c r="A198" s="34">
        <x:v>46081</x:v>
      </x:c>
      <x:c r="B198" s="33">
        <x:v>44154</x:v>
      </x:c>
      <x:c r="C198" s="33">
        <x:v>46706</x:v>
      </x:c>
      <x:c r="D198" s="33">
        <x:v>0.7</x:v>
      </x:c>
      <x:c r="E198" s="33">
        <x:v>3.6</x:v>
      </x:c>
      <x:c r="F198" s="33">
        <x:v>36393</x:v>
      </x:c>
      <x:c r="G198" s="33">
        <x:v>7761</x:v>
      </x:c>
      <x:c r="H198" s="33">
        <x:v>5363</x:v>
      </x:c>
      <x:c r="I198" s="33">
        <x:v>13174</x:v>
      </x:c>
      <x:c r="J198" s="33">
        <x:v>3547</x:v>
      </x:c>
      <x:c r="K198" s="33">
        <x:v>20216</x:v>
      </x:c>
      <x:c r="L198" s="33">
        <x:v>2511</x:v>
      </x:c>
      <x:c r="M198" s="33">
        <x:v>565936</x:v>
      </x:c>
      <x:c r="N198" s="33">
        <x:v>75205.77</x:v>
      </x:c>
    </x:row>
    <x:row r="199">
      <x:c r="A199" s="34">
        <x:v>46112</x:v>
      </x:c>
      <x:c r="B199" s="33">
        <x:v>61613</x:v>
      </x:c>
      <x:c r="C199" s="33">
        <x:v>74706</x:v>
      </x:c>
      <x:c r="D199" s="33">
        <x:v>2.4</x:v>
      </x:c>
      <x:c r="E199" s="33">
        <x:v>2.6</x:v>
      </x:c>
      <x:c r="F199" s="33">
        <x:v>48505</x:v>
      </x:c>
      <x:c r="G199" s="33">
        <x:v>13108</x:v>
      </x:c>
      <x:c r="H199" s="33">
        <x:v>7751</x:v>
      </x:c>
      <x:c r="I199" s="33">
        <x:v>20387</x:v>
      </x:c>
      <x:c r="J199" s="33">
        <x:v>5176</x:v>
      </x:c>
      <x:c r="K199" s="33">
        <x:v>31059</x:v>
      </x:c>
      <x:c r="L199" s="33">
        <x:v>6702</x:v>
      </x:c>
      <x:c r="M199" s="33">
        <x:v>572587</x:v>
      </x:c>
      <x:c r="N199" s="33">
        <x:v>67824.03</x:v>
      </x:c>
    </x:row>
    <x:row r="200">
      <x:c r="A200" s="34">
        <x:v>46142</x:v>
      </x:c>
      <x:c r="B200" s="33">
        <x:v>83404</x:v>
      </x:c>
      <x:c r="C200" s="33">
        <x:v>94809</x:v>
      </x:c>
      <x:c r="D200" s="33">
        <x:v>3.5</x:v>
      </x:c>
      <x:c r="E200" s="33">
        <x:v>1.3</x:v>
      </x:c>
      <x:c r="F200" s="33">
        <x:v>68097</x:v>
      </x:c>
      <x:c r="G200" s="33">
        <x:v>15307</x:v>
      </x:c>
      <x:c r="H200" s="33">
        <x:v>10208</x:v>
      </x:c>
      <x:c r="I200" s="33">
        <x:v>25431</x:v>
      </x:c>
      <x:c r="J200" s="33">
        <x:v>6801</x:v>
      </x:c>
      <x:c r="K200" s="33">
        <x:v>39172</x:v>
      </x:c>
      <x:c r="L200" s="33">
        <x:v>11263</x:v>
      </x:c>
      <x:c r="M200" s="33">
        <x:v>576139</x:v>
      </x:c>
      <x:c r="N200" s="33">
        <x:v>75191.08</x:v>
      </x:c>
    </x:row>
    <x:row r="201">
      <x:c r="A201" s="34">
        <x:v>46173</x:v>
      </x:c>
      <x:c r="B201" s="33">
        <x:v>100465</x:v>
      </x:c>
      <x:c r="C201" s="33">
        <x:v>113877</x:v>
      </x:c>
      <x:c r="D201" s="33">
        <x:v>4</x:v>
      </x:c>
      <x:c r="E201" s="33">
        <x:v>0.8</x:v>
      </x:c>
      <x:c r="F201" s="33">
        <x:v>82617</x:v>
      </x:c>
      <x:c r="G201" s="33">
        <x:v>17848</x:v>
      </x:c>
      <x:c r="H201" s="33">
        <x:v>12518</x:v>
      </x:c>
      <x:c r="I201" s="33">
        <x:v>30734</x:v>
      </x:c>
      <x:c r="J201" s="33">
        <x:v>8048</x:v>
      </x:c>
      <x:c r="K201" s="33">
        <x:v>47219</x:v>
      </x:c>
      <x:c r="L201" s="33">
        <x:v>13996</x:v>
      </x:c>
      <x:c r="M201" s="33">
        <x:v>581453</x:v>
      </x:c>
      <x:c r="N201" s="33">
        <x:v>82301.929999999993</x:v>
      </x:c>
    </x:row>
    <x:row r="202">
      <x:c r="A202" s="34">
        <x:v>46203</x:v>
      </x:c>
      <x:c r="B202" s="33">
        <x:v>121047</x:v>
      </x:c>
      <x:c r="C202" s="33">
        <x:v>143329</x:v>
      </x:c>
      <x:c r="D202" s="33">
        <x:v>4.7</x:v>
      </x:c>
      <x:c r="E202" s="33">
        <x:v>1.5</x:v>
      </x:c>
      <x:c r="F202" s="33">
        <x:v>97865</x:v>
      </x:c>
      <x:c r="G202" s="33">
        <x:v>23182</x:v>
      </x:c>
      <x:c r="H202" s="33">
        <x:v>15244</x:v>
      </x:c>
      <x:c r="I202" s="33">
        <x:v>38705</x:v>
      </x:c>
      <x:c r="J202" s="33">
        <x:v>9778</x:v>
      </x:c>
      <x:c r="K202" s="33">
        <x:v>58706</x:v>
      </x:c>
      <x:c r="L202" s="33">
        <x:v>19232</x:v>
      </x:c>
      <x:c r="M202" s="33">
        <x:v>587706</x:v>
      </x:c>
      <x:c r="N202" s="33">
        <x:v>72932.91</x:v>
      </x:c>
    </x:row>
  </x:sheetData>
  <x:pageMargins left="0.7" right="0.7" top="0.75" bottom="0.75" header="0.3" footer="0.3"/>
  <x:legacyDrawing xmlns:r="http://schemas.openxmlformats.org/officeDocument/2006/relationships" r:id="Rf2961a7433ca4232"/>
</x:worksheet>
</file>

<file path=xl/worksheets/sheet2.xml><?xml version="1.0" encoding="utf-8"?>
<x:worksheet xmlns:x="http://schemas.openxmlformats.org/spreadsheetml/2006/main">
  <x:sheetFormatPr baseColWidth="10" defaultColWidth="9" defaultRowHeight="16"/>
  <x:cols>
    <x:col min="1" max="1" width="9" style="12" customWidth="1"/>
    <x:col min="2" max="2" width="18.83203125" style="30" customWidth="1"/>
    <x:col min="3" max="3" width="18.6640625" style="30" customWidth="1"/>
    <x:col min="4" max="4" width="49.33203125" style="30" customWidth="1"/>
    <x:col min="5" max="6" width="50.33203125" style="12" customWidth="1"/>
    <x:col min="7" max="7" width="13.83203125" style="12" customWidth="1"/>
    <x:col min="8" max="8" width="12" style="12" customWidth="1"/>
  </x:cols>
  <x:sheetData>
    <x:row r="1">
      <x:c r="A1" s="6" t="e">
        <x:f>[1]!edb()</x:f>
        <x:v>#NAME?</x:v>
      </x:c>
      <x:c r="B1" s="36"/>
      <x:c r="C1" s="36"/>
      <x:c r="D1" s="36"/>
      <x:c r="E1" s="11"/>
      <x:c r="F1" s="7"/>
      <x:c r="G1" s="13"/>
      <x:c r="H1" s="13"/>
      <x:c r="I1" s="5"/>
      <x:c r="J1" s="5"/>
      <x:c r="K1" s="5"/>
    </x:row>
    <x:row r="2">
      <x:c r="A2" s="7" t="s">
        <x:v>0</x:v>
      </x:c>
      <x:c r="B2" s="36" t="s">
        <x:v>31</x:v>
      </x:c>
      <x:c r="C2" s="36" t="s">
        <x:v>32</x:v>
      </x:c>
      <x:c r="D2" s="36" t="s">
        <x:v>33</x:v>
      </x:c>
      <x:c r="E2" s="7"/>
      <x:c r="F2" s="7"/>
      <x:c r="G2" s="13"/>
      <x:c r="H2" s="13"/>
      <x:c r="I2" s="5"/>
      <x:c r="J2" s="5"/>
      <x:c r="K2" s="5"/>
    </x:row>
    <x:row r="3">
      <x:c r="A3" s="7" t="s">
        <x:v>14</x:v>
      </x:c>
      <x:c r="B3" s="36" t="s">
        <x:v>16</x:v>
      </x:c>
      <x:c r="C3" s="36" t="s">
        <x:v>16</x:v>
      </x:c>
      <x:c r="D3" s="36" t="s">
        <x:v>16</x:v>
      </x:c>
      <x:c r="E3" s="7"/>
      <x:c r="F3" s="7"/>
      <x:c r="G3" s="13"/>
      <x:c r="H3" s="13"/>
      <x:c r="I3" s="5"/>
      <x:c r="J3" s="5"/>
      <x:c r="K3" s="5"/>
    </x:row>
    <x:row r="4">
      <x:c r="A4" s="8" t="s">
        <x:v>17</x:v>
      </x:c>
      <x:c r="B4" s="37" t="s">
        <x:v>34</x:v>
      </x:c>
      <x:c r="C4" s="37" t="s">
        <x:v>35</x:v>
      </x:c>
      <x:c r="D4" s="37" t="s">
        <x:v>36</x:v>
      </x:c>
      <x:c r="E4" s="8"/>
      <x:c r="F4" s="8"/>
      <x:c r="I4" s="5"/>
      <x:c r="J4" s="5"/>
      <x:c r="K4" s="5"/>
    </x:row>
    <x:row r="5">
      <x:c r="A5" s="9">
        <x:v>40209</x:v>
      </x:c>
      <x:c r="B5" s="38">
        <x:v>1.5</x:v>
      </x:c>
      <x:c r="C5" s="38">
        <x:v>4.32</x:v>
      </x:c>
      <x:c r="D5" s="38">
        <x:v>0</x:v>
      </x:c>
      <x:c r="E5" s="10"/>
      <x:c r="F5" s="10"/>
      <x:c r="I5" s="5"/>
      <x:c r="J5" s="5"/>
      <x:c r="K5" s="5"/>
    </x:row>
    <x:row r="6">
      <x:c r="A6" s="9">
        <x:v>40237</x:v>
      </x:c>
      <x:c r="B6" s="38">
        <x:v>2.7</x:v>
      </x:c>
      <x:c r="C6" s="38">
        <x:v>5.39</x:v>
      </x:c>
      <x:c r="D6" s="38">
        <x:v>28.619900000000001</x:v>
      </x:c>
      <x:c r="E6" s="10"/>
      <x:c r="F6" s="10"/>
      <x:c r="I6" s="5"/>
      <x:c r="J6" s="5"/>
      <x:c r="K6" s="5"/>
    </x:row>
    <x:row r="7">
      <x:c r="A7" s="9">
        <x:v>40268</x:v>
      </x:c>
      <x:c r="B7" s="38">
        <x:v>2.4</x:v>
      </x:c>
      <x:c r="C7" s="38">
        <x:v>5.91</x:v>
      </x:c>
      <x:c r="D7" s="38">
        <x:v>22.344899999999999</x:v>
      </x:c>
      <x:c r="E7" s="10"/>
      <x:c r="F7" s="10"/>
      <x:c r="I7" s="5"/>
      <x:c r="J7" s="5"/>
      <x:c r="K7" s="5"/>
    </x:row>
    <x:row r="8">
      <x:c r="A8" s="9">
        <x:v>40298</x:v>
      </x:c>
      <x:c r="B8" s="38">
        <x:v>2.8</x:v>
      </x:c>
      <x:c r="C8" s="38">
        <x:v>6.81</x:v>
      </x:c>
      <x:c r="D8" s="38">
        <x:v>21.9999</x:v>
      </x:c>
      <x:c r="E8" s="10"/>
      <x:c r="F8" s="10"/>
      <x:c r="I8" s="5"/>
      <x:c r="J8" s="5"/>
      <x:c r="K8" s="5"/>
    </x:row>
    <x:row r="9">
      <x:c r="A9" s="9">
        <x:v>40329</x:v>
      </x:c>
      <x:c r="B9" s="38">
        <x:v>3.1</x:v>
      </x:c>
      <x:c r="C9" s="38">
        <x:v>7.13</x:v>
      </x:c>
      <x:c r="D9" s="38">
        <x:v>22.604399999999998</x:v>
      </x:c>
      <x:c r="E9" s="10"/>
      <x:c r="F9" s="10"/>
      <x:c r="I9" s="5"/>
      <x:c r="J9" s="5"/>
      <x:c r="K9" s="5"/>
    </x:row>
    <x:row r="10">
      <x:c r="A10" s="9">
        <x:v>40359</x:v>
      </x:c>
      <x:c r="B10" s="38">
        <x:v>2.9</x:v>
      </x:c>
      <x:c r="C10" s="38">
        <x:v>6.41</x:v>
      </x:c>
      <x:c r="D10" s="38">
        <x:v>21.8811</x:v>
      </x:c>
      <x:c r="E10" s="10"/>
      <x:c r="F10" s="10"/>
      <x:c r="I10" s="5"/>
      <x:c r="J10" s="5"/>
      <x:c r="K10" s="5"/>
    </x:row>
    <x:row r="11">
      <x:c r="A11" s="9">
        <x:v>40390</x:v>
      </x:c>
      <x:c r="B11" s="38">
        <x:v>3.3</x:v>
      </x:c>
      <x:c r="C11" s="38">
        <x:v>4.84</x:v>
      </x:c>
      <x:c r="D11" s="38">
        <x:v>21.5947</x:v>
      </x:c>
      <x:c r="E11" s="10"/>
      <x:c r="F11" s="10"/>
      <x:c r="I11" s="5"/>
      <x:c r="J11" s="5"/>
      <x:c r="K11" s="5"/>
    </x:row>
    <x:row r="12">
      <x:c r="A12" s="9">
        <x:v>40421</x:v>
      </x:c>
      <x:c r="B12" s="38">
        <x:v>3.5</x:v>
      </x:c>
      <x:c r="C12" s="38">
        <x:v>4.32</x:v>
      </x:c>
      <x:c r="D12" s="38">
        <x:v>21.127300000000002</x:v>
      </x:c>
      <x:c r="E12" s="10"/>
      <x:c r="F12" s="10"/>
      <x:c r="I12" s="5"/>
      <x:c r="J12" s="5"/>
      <x:c r="K12" s="5"/>
    </x:row>
    <x:row r="13">
      <x:c r="A13" s="9">
        <x:v>40451</x:v>
      </x:c>
      <x:c r="B13" s="38">
        <x:v>3.6</x:v>
      </x:c>
      <x:c r="C13" s="38">
        <x:v>4.33</x:v>
      </x:c>
      <x:c r="D13" s="38">
        <x:v>19.872599999999998</x:v>
      </x:c>
      <x:c r="E13" s="10"/>
      <x:c r="F13" s="10"/>
      <x:c r="I13" s="5"/>
      <x:c r="J13" s="5"/>
      <x:c r="K13" s="5"/>
    </x:row>
    <x:row r="14">
      <x:c r="A14" s="9">
        <x:v>40482</x:v>
      </x:c>
      <x:c r="B14" s="38">
        <x:v>4.4000000000000004</x:v>
      </x:c>
      <x:c r="C14" s="38">
        <x:v>5.04</x:v>
      </x:c>
      <x:c r="D14" s="38">
        <x:v>19.4681</x:v>
      </x:c>
      <x:c r="E14" s="10"/>
      <x:c r="F14" s="10"/>
      <x:c r="I14" s="5"/>
      <x:c r="J14" s="5"/>
      <x:c r="K14" s="5"/>
    </x:row>
    <x:row r="15">
      <x:c r="A15" s="9">
        <x:v>40512</x:v>
      </x:c>
      <x:c r="B15" s="38">
        <x:v>5.0999999999999996</x:v>
      </x:c>
      <x:c r="C15" s="38">
        <x:v>6.06</x:v>
      </x:c>
      <x:c r="D15" s="38">
        <x:v>19.709299999999999</x:v>
      </x:c>
      <x:c r="E15" s="10"/>
      <x:c r="F15" s="10"/>
      <x:c r="I15" s="5"/>
      <x:c r="J15" s="5"/>
      <x:c r="K15" s="5"/>
    </x:row>
    <x:row r="16">
      <x:c r="A16" s="9">
        <x:v>40543</x:v>
      </x:c>
      <x:c r="B16" s="38">
        <x:v>4.5999999999999996</x:v>
      </x:c>
      <x:c r="C16" s="38">
        <x:v>5.93</x:v>
      </x:c>
      <x:c r="D16" s="38">
        <x:v>18.470300000000002</x:v>
      </x:c>
      <x:c r="E16" s="10"/>
      <x:c r="F16" s="10"/>
      <x:c r="I16" s="5"/>
      <x:c r="J16" s="5"/>
      <x:c r="K16" s="5"/>
    </x:row>
    <x:row r="17">
      <x:c r="A17" s="9">
        <x:v>40574</x:v>
      </x:c>
      <x:c r="B17" s="38">
        <x:v>4.9000000000000004</x:v>
      </x:c>
      <x:c r="C17" s="38">
        <x:v>6.6</x:v>
      </x:c>
      <x:c r="D17" s="38">
        <x:v>0</x:v>
      </x:c>
      <x:c r="E17" s="10"/>
      <x:c r="F17" s="10"/>
      <x:c r="I17" s="5"/>
      <x:c r="J17" s="5"/>
      <x:c r="K17" s="5"/>
    </x:row>
    <x:row r="18">
      <x:c r="A18" s="9">
        <x:v>40602</x:v>
      </x:c>
      <x:c r="B18" s="38">
        <x:v>4.944</x:v>
      </x:c>
      <x:c r="C18" s="38">
        <x:v>7.23</x:v>
      </x:c>
      <x:c r="D18" s="38">
        <x:v>17.3156</x:v>
      </x:c>
      <x:c r="E18" s="10"/>
      <x:c r="F18" s="10"/>
      <x:c r="I18" s="5"/>
      <x:c r="J18" s="5"/>
      <x:c r="K18" s="5"/>
    </x:row>
    <x:row r="19">
      <x:c r="A19" s="9">
        <x:v>40633</x:v>
      </x:c>
      <x:c r="B19" s="38">
        <x:v>5.383</x:v>
      </x:c>
      <x:c r="C19" s="38">
        <x:v>7.31</x:v>
      </x:c>
      <x:c r="D19" s="38">
        <x:v>17.828600000000002</x:v>
      </x:c>
      <x:c r="E19" s="10"/>
      <x:c r="F19" s="10"/>
      <x:c r="I19" s="5"/>
      <x:c r="J19" s="5"/>
      <x:c r="K19" s="5"/>
    </x:row>
    <x:row r="20">
      <x:c r="A20" s="9">
        <x:v>40663</x:v>
      </x:c>
      <x:c r="B20" s="38">
        <x:v>5.3440000000000003</x:v>
      </x:c>
      <x:c r="C20" s="38">
        <x:v>6.82</x:v>
      </x:c>
      <x:c r="D20" s="38">
        <x:v>17.2896</x:v>
      </x:c>
      <x:c r="E20" s="10"/>
      <x:c r="F20" s="10"/>
      <x:c r="I20" s="5"/>
      <x:c r="J20" s="5"/>
      <x:c r="K20" s="5"/>
    </x:row>
    <x:row r="21">
      <x:c r="A21" s="9">
        <x:v>40694</x:v>
      </x:c>
      <x:c r="B21" s="38">
        <x:v>5.5149999999999997</x:v>
      </x:c>
      <x:c r="C21" s="38">
        <x:v>6.79</x:v>
      </x:c>
      <x:c r="D21" s="38">
        <x:v>14.708</x:v>
      </x:c>
      <x:c r="E21" s="10"/>
      <x:c r="F21" s="10"/>
      <x:c r="I21" s="5"/>
      <x:c r="J21" s="5"/>
      <x:c r="K21" s="5"/>
    </x:row>
    <x:row r="22">
      <x:c r="A22" s="9">
        <x:v>40724</x:v>
      </x:c>
      <x:c r="B22" s="38">
        <x:v>6.3550000000000004</x:v>
      </x:c>
      <x:c r="C22" s="38">
        <x:v>7.12</x:v>
      </x:c>
      <x:c r="D22" s="38">
        <x:v>13.4003</x:v>
      </x:c>
      <x:c r="E22" s="10"/>
      <x:c r="F22" s="10"/>
      <x:c r="I22" s="5"/>
      <x:c r="J22" s="5"/>
      <x:c r="K22" s="5"/>
    </x:row>
    <x:row r="23">
      <x:c r="A23" s="9">
        <x:v>40755</x:v>
      </x:c>
      <x:c r="B23" s="38">
        <x:v>6.4509999999999996</x:v>
      </x:c>
      <x:c r="C23" s="38">
        <x:v>7.54</x:v>
      </x:c>
      <x:c r="D23" s="38">
        <x:v>11.196</x:v>
      </x:c>
      <x:c r="E23" s="10"/>
      <x:c r="F23" s="10"/>
      <x:c r="I23" s="5"/>
      <x:c r="J23" s="5"/>
      <x:c r="K23" s="5"/>
    </x:row>
    <x:row r="24">
      <x:c r="A24" s="9">
        <x:v>40786</x:v>
      </x:c>
      <x:c r="B24" s="38">
        <x:v>6.1509999999999998</x:v>
      </x:c>
      <x:c r="C24" s="38">
        <x:v>7.25</x:v>
      </x:c>
      <x:c r="D24" s="38">
        <x:v>9.2356999999999996</x:v>
      </x:c>
      <x:c r="E24" s="10"/>
      <x:c r="F24" s="10"/>
      <x:c r="I24" s="5"/>
      <x:c r="J24" s="5"/>
      <x:c r="K24" s="5"/>
    </x:row>
    <x:row r="25">
      <x:c r="A25" s="9">
        <x:v>40816</x:v>
      </x:c>
      <x:c r="B25" s="38">
        <x:v>6.0670000000000002</x:v>
      </x:c>
      <x:c r="C25" s="38">
        <x:v>6.52</x:v>
      </x:c>
      <x:c r="D25" s="38">
        <x:v>9.2988</x:v>
      </x:c>
      <x:c r="E25" s="10"/>
      <x:c r="F25" s="10"/>
      <x:c r="I25" s="5"/>
      <x:c r="J25" s="5"/>
      <x:c r="K25" s="5"/>
    </x:row>
    <x:row r="26">
      <x:c r="A26" s="9">
        <x:v>40847</x:v>
      </x:c>
      <x:c r="B26" s="38">
        <x:v>5.4950000000000001</x:v>
      </x:c>
      <x:c r="C26" s="38">
        <x:v>5</x:v>
      </x:c>
      <x:c r="D26" s="38">
        <x:v>8.6571999999999996</x:v>
      </x:c>
      <x:c r="E26" s="10"/>
      <x:c r="F26" s="10"/>
      <x:c r="I26" s="5"/>
      <x:c r="J26" s="5"/>
      <x:c r="K26" s="5"/>
    </x:row>
    <x:row r="27">
      <x:c r="A27" s="9">
        <x:v>40877</x:v>
      </x:c>
      <x:c r="B27" s="38">
        <x:v>4.2249999999999996</x:v>
      </x:c>
      <x:c r="C27" s="38">
        <x:v>2.72</x:v>
      </x:c>
      <x:c r="D27" s="38">
        <x:v>8.0451999999999995</x:v>
      </x:c>
      <x:c r="E27" s="10"/>
      <x:c r="F27" s="10"/>
      <x:c r="I27" s="5"/>
      <x:c r="J27" s="5"/>
      <x:c r="K27" s="5"/>
    </x:row>
    <x:row r="28">
      <x:c r="A28" s="9">
        <x:v>40908</x:v>
      </x:c>
      <x:c r="B28" s="38">
        <x:v>4.07</x:v>
      </x:c>
      <x:c r="C28" s="38">
        <x:v>1.69</x:v>
      </x:c>
      <x:c r="D28" s="38">
        <x:v>6.4842000000000004</x:v>
      </x:c>
      <x:c r="E28" s="10"/>
      <x:c r="F28" s="10"/>
      <x:c r="I28" s="5"/>
      <x:c r="J28" s="5"/>
      <x:c r="K28" s="5"/>
    </x:row>
    <x:row r="29">
      <x:c r="A29" s="9">
        <x:v>40939</x:v>
      </x:c>
      <x:c r="B29" s="38">
        <x:v>4.5</x:v>
      </x:c>
      <x:c r="C29" s="38">
        <x:v>0.73</x:v>
      </x:c>
      <x:c r="D29" s="38">
        <x:v>0</x:v>
      </x:c>
      <x:c r="E29" s="10"/>
      <x:c r="F29" s="10"/>
      <x:c r="I29" s="5"/>
      <x:c r="J29" s="5"/>
      <x:c r="K29" s="5"/>
    </x:row>
    <x:row r="30">
      <x:c r="A30" s="9">
        <x:v>40968</x:v>
      </x:c>
      <x:c r="B30" s="38">
        <x:v>3.2</x:v>
      </x:c>
      <x:c r="C30" s="38">
        <x:v>0.03</x:v>
      </x:c>
      <x:c r="D30" s="38">
        <x:v>-2.3599000000000001</x:v>
      </x:c>
      <x:c r="E30" s="10"/>
      <x:c r="F30" s="10"/>
      <x:c r="I30" s="5"/>
      <x:c r="J30" s="5"/>
      <x:c r="K30" s="5"/>
    </x:row>
    <x:row r="31">
      <x:c r="A31" s="9">
        <x:v>40999</x:v>
      </x:c>
      <x:c r="B31" s="38">
        <x:v>3.6</x:v>
      </x:c>
      <x:c r="C31" s="38">
        <x:v>-0.32</x:v>
      </x:c>
      <x:c r="D31" s="38">
        <x:v>1.8134999999999999</x:v>
      </x:c>
      <x:c r="E31" s="10"/>
      <x:c r="F31" s="10"/>
      <x:c r="I31" s="5"/>
      <x:c r="J31" s="5"/>
      <x:c r="K31" s="5"/>
    </x:row>
    <x:row r="32">
      <x:c r="A32" s="9">
        <x:v>41029</x:v>
      </x:c>
      <x:c r="B32" s="38">
        <x:v>3.4</x:v>
      </x:c>
      <x:c r="C32" s="38">
        <x:v>-0.7</x:v>
      </x:c>
      <x:c r="D32" s="38">
        <x:v>3.2717999999999998</x:v>
      </x:c>
      <x:c r="E32" s="10"/>
      <x:c r="F32" s="10"/>
      <x:c r="I32" s="5"/>
      <x:c r="J32" s="5"/>
      <x:c r="K32" s="5"/>
    </x:row>
    <x:row r="33">
      <x:c r="A33" s="9">
        <x:v>41060</x:v>
      </x:c>
      <x:c r="B33" s="38">
        <x:v>3</x:v>
      </x:c>
      <x:c r="C33" s="38">
        <x:v>-1.4</x:v>
      </x:c>
      <x:c r="D33" s="38">
        <x:v>4.6258999999999997</x:v>
      </x:c>
      <x:c r="E33" s="10"/>
      <x:c r="F33" s="10"/>
      <x:c r="I33" s="5"/>
      <x:c r="J33" s="5"/>
      <x:c r="K33" s="5"/>
    </x:row>
    <x:row r="34">
      <x:c r="A34" s="9">
        <x:v>41090</x:v>
      </x:c>
      <x:c r="B34" s="38">
        <x:v>2.2000000000000002</x:v>
      </x:c>
      <x:c r="C34" s="38">
        <x:v>-2.08</x:v>
      </x:c>
      <x:c r="D34" s="38">
        <x:v>8.2596000000000007</x:v>
      </x:c>
      <x:c r="E34" s="10"/>
      <x:c r="F34" s="10"/>
      <x:c r="I34" s="5"/>
      <x:c r="J34" s="5"/>
      <x:c r="K34" s="5"/>
    </x:row>
    <x:row r="35">
      <x:c r="A35" s="9">
        <x:v>41121</x:v>
      </x:c>
      <x:c r="B35" s="38">
        <x:v>1.8</x:v>
      </x:c>
      <x:c r="C35" s="38">
        <x:v>-2.87</x:v>
      </x:c>
      <x:c r="D35" s="38">
        <x:v>9.3766999999999996</x:v>
      </x:c>
      <x:c r="E35" s="10"/>
      <x:c r="F35" s="10"/>
      <x:c r="I35" s="5"/>
      <x:c r="J35" s="5"/>
      <x:c r="K35" s="5"/>
    </x:row>
    <x:row r="36">
      <x:c r="A36" s="9">
        <x:v>41152</x:v>
      </x:c>
      <x:c r="B36" s="38">
        <x:v>2</x:v>
      </x:c>
      <x:c r="C36" s="38">
        <x:v>-3.48</x:v>
      </x:c>
      <x:c r="D36" s="38">
        <x:v>10.2491</x:v>
      </x:c>
      <x:c r="E36" s="10"/>
      <x:c r="F36" s="10"/>
      <x:c r="I36" s="5"/>
      <x:c r="J36" s="5"/>
      <x:c r="K36" s="5"/>
    </x:row>
    <x:row r="37">
      <x:c r="A37" s="9">
        <x:v>41182</x:v>
      </x:c>
      <x:c r="B37" s="38">
        <x:v>1.9</x:v>
      </x:c>
      <x:c r="C37" s="38">
        <x:v>-3.55</x:v>
      </x:c>
      <x:c r="D37" s="38">
        <x:v>12.5541</x:v>
      </x:c>
      <x:c r="E37" s="10"/>
      <x:c r="F37" s="10"/>
      <x:c r="I37" s="5"/>
      <x:c r="J37" s="5"/>
      <x:c r="K37" s="5"/>
    </x:row>
    <x:row r="38">
      <x:c r="A38" s="9">
        <x:v>41213</x:v>
      </x:c>
      <x:c r="B38" s="38">
        <x:v>1.7</x:v>
      </x:c>
      <x:c r="C38" s="38">
        <x:v>-2.76</x:v>
      </x:c>
      <x:c r="D38" s="38">
        <x:v>14.1302</x:v>
      </x:c>
      <x:c r="E38" s="10"/>
      <x:c r="F38" s="10"/>
      <x:c r="I38" s="5"/>
      <x:c r="J38" s="5"/>
      <x:c r="K38" s="5"/>
    </x:row>
    <x:row r="39">
      <x:c r="A39" s="9">
        <x:v>41243</x:v>
      </x:c>
      <x:c r="B39" s="38">
        <x:v>2</x:v>
      </x:c>
      <x:c r="C39" s="38">
        <x:v>-2.2000000000000002</x:v>
      </x:c>
      <x:c r="D39" s="38">
        <x:v>13.9514</x:v>
      </x:c>
      <x:c r="E39" s="10"/>
      <x:c r="F39" s="10"/>
      <x:c r="I39" s="5"/>
      <x:c r="J39" s="5"/>
      <x:c r="K39" s="5"/>
    </x:row>
    <x:row r="40">
      <x:c r="A40" s="9">
        <x:v>41274</x:v>
      </x:c>
      <x:c r="B40" s="38">
        <x:v>2.5</x:v>
      </x:c>
      <x:c r="C40" s="38">
        <x:v>-1.94</x:v>
      </x:c>
      <x:c r="D40" s="38">
        <x:v>13.702400000000001</x:v>
      </x:c>
      <x:c r="E40" s="10"/>
      <x:c r="F40" s="10"/>
      <x:c r="I40" s="5"/>
      <x:c r="J40" s="5"/>
      <x:c r="K40" s="5"/>
    </x:row>
    <x:row r="41">
      <x:c r="A41" s="9">
        <x:v>41305</x:v>
      </x:c>
      <x:c r="B41" s="38">
        <x:v>2.0305</x:v>
      </x:c>
      <x:c r="C41" s="38">
        <x:v>-1.64</x:v>
      </x:c>
      <x:c r="D41" s="38">
        <x:v>0</x:v>
      </x:c>
      <x:c r="E41" s="10"/>
      <x:c r="F41" s="10"/>
      <x:c r="I41" s="5"/>
      <x:c r="J41" s="5"/>
      <x:c r="K41" s="5"/>
    </x:row>
    <x:row r="42">
      <x:c r="A42" s="9">
        <x:v>41333</x:v>
      </x:c>
      <x:c r="B42" s="38">
        <x:v>3.2198000000000002</x:v>
      </x:c>
      <x:c r="C42" s="38">
        <x:v>-1.63</x:v>
      </x:c>
      <x:c r="D42" s="38">
        <x:v>23.197099999999999</x:v>
      </x:c>
      <x:c r="E42" s="10"/>
      <x:c r="F42" s="10"/>
      <x:c r="I42" s="5"/>
      <x:c r="J42" s="5"/>
      <x:c r="K42" s="5"/>
    </x:row>
    <x:row r="43">
      <x:c r="A43" s="9">
        <x:v>41364</x:v>
      </x:c>
      <x:c r="B43" s="38">
        <x:v>2.0695999999999999</x:v>
      </x:c>
      <x:c r="C43" s="38">
        <x:v>-1.92</x:v>
      </x:c>
      <x:c r="D43" s="38">
        <x:v>25.5961</x:v>
      </x:c>
      <x:c r="E43" s="10"/>
      <x:c r="F43" s="10"/>
      <x:c r="I43" s="5"/>
      <x:c r="J43" s="5"/>
      <x:c r="K43" s="5"/>
    </x:row>
    <x:row r="44">
      <x:c r="A44" s="9">
        <x:v>41394</x:v>
      </x:c>
      <x:c r="B44" s="38">
        <x:v>2.3860999999999999</x:v>
      </x:c>
      <x:c r="C44" s="38">
        <x:v>-2.62</x:v>
      </x:c>
      <x:c r="D44" s="38">
        <x:v>24.036300000000001</x:v>
      </x:c>
      <x:c r="E44" s="10"/>
      <x:c r="F44" s="10"/>
      <x:c r="I44" s="5"/>
      <x:c r="J44" s="5"/>
      <x:c r="K44" s="5"/>
    </x:row>
    <x:row r="45">
      <x:c r="A45" s="9">
        <x:v>41425</x:v>
      </x:c>
      <x:c r="B45" s="38">
        <x:v>2.0981000000000001</x:v>
      </x:c>
      <x:c r="C45" s="38">
        <x:v>-2.87</x:v>
      </x:c>
      <x:c r="D45" s="38">
        <x:v>24.125</x:v>
      </x:c>
      <x:c r="E45" s="10"/>
      <x:c r="F45" s="10"/>
      <x:c r="I45" s="5"/>
      <x:c r="J45" s="5"/>
      <x:c r="K45" s="5"/>
    </x:row>
    <x:row r="46">
      <x:c r="A46" s="9">
        <x:v>41455</x:v>
      </x:c>
      <x:c r="B46" s="38">
        <x:v>2.6684000000000001</x:v>
      </x:c>
      <x:c r="C46" s="38">
        <x:v>-2.7</x:v>
      </x:c>
      <x:c r="D46" s="38">
        <x:v>23.652699999999999</x:v>
      </x:c>
      <x:c r="E46" s="10"/>
      <x:c r="F46" s="10"/>
      <x:c r="I46" s="5"/>
      <x:c r="J46" s="5"/>
      <x:c r="K46" s="5"/>
    </x:row>
    <x:row r="47">
      <x:c r="A47" s="9">
        <x:v>41486</x:v>
      </x:c>
      <x:c r="B47" s="38">
        <x:v>2.6741000000000001</x:v>
      </x:c>
      <x:c r="C47" s="38">
        <x:v>-2.27</x:v>
      </x:c>
      <x:c r="D47" s="38">
        <x:v>23.873699999999999</x:v>
      </x:c>
      <x:c r="E47" s="10"/>
      <x:c r="F47" s="10"/>
    </x:row>
    <x:row r="48">
      <x:c r="A48" s="9">
        <x:v>41517</x:v>
      </x:c>
      <x:c r="B48" s="38">
        <x:v>2.5666000000000002</x:v>
      </x:c>
      <x:c r="C48" s="38">
        <x:v>-1.62</x:v>
      </x:c>
      <x:c r="D48" s="38">
        <x:v>24.744299999999999</x:v>
      </x:c>
      <x:c r="E48" s="10"/>
      <x:c r="F48" s="10"/>
    </x:row>
    <x:row r="49">
      <x:c r="A49" s="9">
        <x:v>41547</x:v>
      </x:c>
      <x:c r="B49" s="38">
        <x:v>3.0518999999999998</x:v>
      </x:c>
      <x:c r="C49" s="38">
        <x:v>-1.34</x:v>
      </x:c>
      <x:c r="D49" s="38">
        <x:v>24.206700000000001</x:v>
      </x:c>
      <x:c r="E49" s="10"/>
      <x:c r="F49" s="10"/>
    </x:row>
    <x:row r="50">
      <x:c r="A50" s="9">
        <x:v>41578</x:v>
      </x:c>
      <x:c r="B50" s="38">
        <x:v>3.2058</x:v>
      </x:c>
      <x:c r="C50" s="38">
        <x:v>-1.51</x:v>
      </x:c>
      <x:c r="D50" s="38">
        <x:v>23.138400000000001</x:v>
      </x:c>
      <x:c r="E50" s="10"/>
      <x:c r="F50" s="10"/>
    </x:row>
    <x:row r="51">
      <x:c r="A51" s="9">
        <x:v>41608</x:v>
      </x:c>
      <x:c r="B51" s="38">
        <x:v>3.0179999999999998</x:v>
      </x:c>
      <x:c r="C51" s="38">
        <x:v>-1.42</x:v>
      </x:c>
      <x:c r="D51" s="38">
        <x:v>23.231999999999999</x:v>
      </x:c>
      <x:c r="E51" s="10"/>
      <x:c r="F51" s="10"/>
    </x:row>
    <x:row r="52">
      <x:c r="A52" s="9">
        <x:v>41639</x:v>
      </x:c>
      <x:c r="B52" s="38">
        <x:v>2.4986999999999999</x:v>
      </x:c>
      <x:c r="C52" s="38">
        <x:v>-1.36</x:v>
      </x:c>
      <x:c r="D52" s="38">
        <x:v>21.206199999999999</x:v>
      </x:c>
      <x:c r="E52" s="10"/>
      <x:c r="F52" s="10"/>
    </x:row>
    <x:row r="53">
      <x:c r="A53" s="9">
        <x:v>41670</x:v>
      </x:c>
      <x:c r="B53" s="38">
        <x:v>2.4861</x:v>
      </x:c>
      <x:c r="C53" s="38">
        <x:v>-1.64</x:v>
      </x:c>
      <x:c r="D53" s="38">
        <x:v>0</x:v>
      </x:c>
      <x:c r="E53" s="10"/>
      <x:c r="F53" s="10"/>
    </x:row>
    <x:row r="54">
      <x:c r="A54" s="9">
        <x:v>41698</x:v>
      </x:c>
      <x:c r="B54" s="38">
        <x:v>1.9511000000000001</x:v>
      </x:c>
      <x:c r="C54" s="38">
        <x:v>-2</x:v>
      </x:c>
      <x:c r="D54" s="38">
        <x:v>18.769100000000002</x:v>
      </x:c>
      <x:c r="E54" s="10"/>
      <x:c r="F54" s="10"/>
    </x:row>
    <x:row r="55">
      <x:c r="A55" s="9">
        <x:v>41729</x:v>
      </x:c>
      <x:c r="B55" s="38">
        <x:v>2.3847999999999998</x:v>
      </x:c>
      <x:c r="C55" s="38">
        <x:v>-2.3018999999999998</x:v>
      </x:c>
      <x:c r="D55" s="38">
        <x:v>20.8828</x:v>
      </x:c>
      <x:c r="E55" s="10"/>
      <x:c r="F55" s="10"/>
    </x:row>
    <x:row r="56">
      <x:c r="A56" s="9">
        <x:v>41759</x:v>
      </x:c>
      <x:c r="B56" s="38">
        <x:v>1.8013999999999999</x:v>
      </x:c>
      <x:c r="C56" s="38">
        <x:v>-2.0042</x:v>
      </x:c>
      <x:c r="D56" s="38">
        <x:v>20.853899999999999</x:v>
      </x:c>
      <x:c r="E56" s="10"/>
      <x:c r="F56" s="10"/>
    </x:row>
    <x:row r="57">
      <x:c r="A57" s="9">
        <x:v>41790</x:v>
      </x:c>
      <x:c r="B57" s="38">
        <x:v>2.4773000000000001</x:v>
      </x:c>
      <x:c r="C57" s="38">
        <x:v>-1.4463999999999999</x:v>
      </x:c>
      <x:c r="D57" s="38">
        <x:v>23.015999999999998</x:v>
      </x:c>
      <x:c r="E57" s="10"/>
      <x:c r="F57" s="10"/>
    </x:row>
    <x:row r="58">
      <x:c r="A58" s="9">
        <x:v>41820</x:v>
      </x:c>
      <x:c r="B58" s="38">
        <x:v>2.3361000000000001</x:v>
      </x:c>
      <x:c r="C58" s="38">
        <x:v>-1.1092</x:v>
      </x:c>
      <x:c r="D58" s="38">
        <x:v>22.836500000000001</x:v>
      </x:c>
      <x:c r="E58" s="10"/>
      <x:c r="F58" s="10"/>
    </x:row>
    <x:row r="59">
      <x:c r="A59" s="9">
        <x:v>41851</x:v>
      </x:c>
      <x:c r="B59" s="38">
        <x:v>2.2852000000000001</x:v>
      </x:c>
      <x:c r="C59" s="38">
        <x:v>-0.86880000000000002</x:v>
      </x:c>
      <x:c r="D59" s="38">
        <x:v>22.6099</x:v>
      </x:c>
      <x:c r="E59" s="10"/>
      <x:c r="F59" s="10"/>
    </x:row>
    <x:row r="60">
      <x:c r="A60" s="9">
        <x:v>41882</x:v>
      </x:c>
      <x:c r="B60" s="38">
        <x:v>1.9908999999999999</x:v>
      </x:c>
      <x:c r="C60" s="38">
        <x:v>-1.2038</x:v>
      </x:c>
      <x:c r="D60" s="38">
        <x:v>21.568100000000001</x:v>
      </x:c>
      <x:c r="E60" s="10"/>
      <x:c r="F60" s="10"/>
    </x:row>
    <x:row r="61">
      <x:c r="A61" s="9">
        <x:v>41912</x:v>
      </x:c>
      <x:c r="B61" s="38">
        <x:v>1.6274999999999999</x:v>
      </x:c>
      <x:c r="C61" s="38">
        <x:v>-1.7996000000000001</x:v>
      </x:c>
      <x:c r="D61" s="38">
        <x:v>20.946400000000001</x:v>
      </x:c>
      <x:c r="E61" s="10"/>
      <x:c r="F61" s="10"/>
    </x:row>
    <x:row r="62">
      <x:c r="A62" s="9">
        <x:v>41943</x:v>
      </x:c>
      <x:c r="B62" s="38">
        <x:v>1.6011</x:v>
      </x:c>
      <x:c r="C62" s="38">
        <x:v>-2.2427999999999999</x:v>
      </x:c>
      <x:c r="D62" s="38">
        <x:v>21.38</x:v>
      </x:c>
      <x:c r="E62" s="10"/>
      <x:c r="F62" s="10"/>
    </x:row>
    <x:row r="63">
      <x:c r="A63" s="9">
        <x:v>41973</x:v>
      </x:c>
      <x:c r="B63" s="38">
        <x:v>1.4393</x:v>
      </x:c>
      <x:c r="C63" s="38">
        <x:v>-2.6928000000000001</x:v>
      </x:c>
      <x:c r="D63" s="38">
        <x:v>20.878</x:v>
      </x:c>
      <x:c r="E63" s="10"/>
      <x:c r="F63" s="10"/>
    </x:row>
    <x:row r="64">
      <x:c r="A64" s="9">
        <x:v>42004</x:v>
      </x:c>
      <x:c r="B64" s="38">
        <x:v>1.5056</x:v>
      </x:c>
      <x:c r="C64" s="38">
        <x:v>-3.3151999999999999</x:v>
      </x:c>
      <x:c r="D64" s="38">
        <x:v>20.2926</x:v>
      </x:c>
      <x:c r="E64" s="10"/>
      <x:c r="F64" s="10"/>
    </x:row>
    <x:row r="65">
      <x:c r="A65" s="9">
        <x:v>42035</x:v>
      </x:c>
      <x:c r="B65" s="38">
        <x:v>0.76380000000000003</x:v>
      </x:c>
      <x:c r="C65" s="38">
        <x:v>-4.3201999999999998</x:v>
      </x:c>
      <x:c r="D65" s="38">
        <x:v>0</x:v>
      </x:c>
      <x:c r="E65" s="10"/>
      <x:c r="F65" s="10"/>
    </x:row>
    <x:row r="66">
      <x:c r="A66" s="9">
        <x:v>42063</x:v>
      </x:c>
      <x:c r="B66" s="38">
        <x:v>1.4311</x:v>
      </x:c>
      <x:c r="C66" s="38">
        <x:v>-4.7976000000000001</x:v>
      </x:c>
      <x:c r="D66" s="38">
        <x:v>20.793500000000002</x:v>
      </x:c>
      <x:c r="E66" s="10"/>
      <x:c r="F66" s="10"/>
    </x:row>
    <x:row r="67">
      <x:c r="A67" s="9">
        <x:v>42094</x:v>
      </x:c>
      <x:c r="B67" s="38">
        <x:v>1.3757999999999999</x:v>
      </x:c>
      <x:c r="C67" s="38">
        <x:v>-4.5602999999999998</x:v>
      </x:c>
      <x:c r="D67" s="38">
        <x:v>22.8262</x:v>
      </x:c>
      <x:c r="E67" s="10"/>
      <x:c r="F67" s="10"/>
    </x:row>
    <x:row r="68">
      <x:c r="A68" s="9">
        <x:v>42124</x:v>
      </x:c>
      <x:c r="B68" s="38">
        <x:v>1.5091000000000001</x:v>
      </x:c>
      <x:c r="C68" s="38">
        <x:v>-4.5724999999999998</x:v>
      </x:c>
      <x:c r="D68" s="38">
        <x:v>20.318000000000001</x:v>
      </x:c>
      <x:c r="E68" s="10"/>
      <x:c r="F68" s="10"/>
    </x:row>
    <x:row r="69">
      <x:c r="A69" s="9">
        <x:v>42155</x:v>
      </x:c>
      <x:c r="B69" s="38">
        <x:v>1.2307999999999999</x:v>
      </x:c>
      <x:c r="C69" s="38">
        <x:v>-4.6070000000000002</x:v>
      </x:c>
      <x:c r="D69" s="38">
        <x:v>18.660900000000002</x:v>
      </x:c>
      <x:c r="E69" s="10"/>
      <x:c r="F69" s="10"/>
    </x:row>
    <x:row r="70">
      <x:c r="A70" s="9">
        <x:v>42185</x:v>
      </x:c>
      <x:c r="B70" s="38">
        <x:v>1.3909</x:v>
      </x:c>
      <x:c r="C70" s="38">
        <x:v>-4.8135000000000003</x:v>
      </x:c>
      <x:c r="D70" s="38">
        <x:v>19.188600000000001</x:v>
      </x:c>
      <x:c r="E70" s="10"/>
      <x:c r="F70" s="10"/>
    </x:row>
    <x:row r="71">
      <x:c r="A71" s="9">
        <x:v>42216</x:v>
      </x:c>
      <x:c r="B71" s="38">
        <x:v>1.6473</x:v>
      </x:c>
      <x:c r="C71" s="38">
        <x:v>-5.3692000000000002</x:v>
      </x:c>
      <x:c r="D71" s="38">
        <x:v>18.629899999999999</x:v>
      </x:c>
      <x:c r="E71" s="10"/>
      <x:c r="F71" s="10"/>
    </x:row>
    <x:row r="72">
      <x:c r="A72" s="9">
        <x:v>42247</x:v>
      </x:c>
      <x:c r="B72" s="38">
        <x:v>1.9554</x:v>
      </x:c>
      <x:c r="C72" s="38">
        <x:v>-5.9226999999999999</x:v>
      </x:c>
      <x:c r="D72" s="38">
        <x:v>18.7944</x:v>
      </x:c>
      <x:c r="E72" s="10"/>
      <x:c r="F72" s="10"/>
    </x:row>
    <x:row r="73">
      <x:c r="A73" s="9">
        <x:v>42277</x:v>
      </x:c>
      <x:c r="B73" s="38">
        <x:v>1.5955999999999999</x:v>
      </x:c>
      <x:c r="C73" s="38">
        <x:v>-5.9450000000000003</x:v>
      </x:c>
      <x:c r="D73" s="38">
        <x:v>18.071400000000001</x:v>
      </x:c>
      <x:c r="E73" s="10"/>
      <x:c r="F73" s="10"/>
    </x:row>
    <x:row r="74">
      <x:c r="A74" s="9">
        <x:v>42308</x:v>
      </x:c>
      <x:c r="B74" s="38">
        <x:v>1.2674000000000001</x:v>
      </x:c>
      <x:c r="C74" s="38">
        <x:v>-5.9</x:v>
      </x:c>
      <x:c r="D74" s="38">
        <x:v>17.4085</x:v>
      </x:c>
      <x:c r="E74" s="10"/>
      <x:c r="F74" s="10"/>
    </x:row>
    <x:row r="75">
      <x:c r="A75" s="9">
        <x:v>42338</x:v>
      </x:c>
      <x:c r="B75" s="38">
        <x:v>1.4856</x:v>
      </x:c>
      <x:c r="C75" s="38">
        <x:v>-5.9</x:v>
      </x:c>
      <x:c r="D75" s="38">
        <x:v>18.008299999999998</x:v>
      </x:c>
      <x:c r="E75" s="10"/>
      <x:c r="F75" s="10"/>
    </x:row>
    <x:row r="76">
      <x:c r="A76" s="9">
        <x:v>42369</x:v>
      </x:c>
      <x:c r="B76" s="38">
        <x:v>1.6</x:v>
      </x:c>
      <x:c r="C76" s="38">
        <x:v>-5.9</x:v>
      </x:c>
      <x:c r="D76" s="38">
        <x:v>17.2895</x:v>
      </x:c>
      <x:c r="E76" s="10"/>
      <x:c r="F76" s="10"/>
    </x:row>
    <x:row r="77">
      <x:c r="A77" s="9">
        <x:v>42400</x:v>
      </x:c>
      <x:c r="B77" s="38">
        <x:v>1.8</x:v>
      </x:c>
      <x:c r="C77" s="38">
        <x:v>-5.3</x:v>
      </x:c>
      <x:c r="D77" s="38">
        <x:v>0</x:v>
      </x:c>
      <x:c r="E77" s="10"/>
      <x:c r="F77" s="10"/>
    </x:row>
    <x:row r="78">
      <x:c r="A78" s="9">
        <x:v>42429</x:v>
      </x:c>
      <x:c r="B78" s="38">
        <x:v>2.2999999999999998</x:v>
      </x:c>
      <x:c r="C78" s="38">
        <x:v>-4.9000000000000004</x:v>
      </x:c>
      <x:c r="D78" s="38">
        <x:v>15.710100000000001</x:v>
      </x:c>
      <x:c r="E78" s="10"/>
      <x:c r="F78" s="10"/>
    </x:row>
    <x:row r="79">
      <x:c r="A79" s="9">
        <x:v>42460</x:v>
      </x:c>
      <x:c r="B79" s="38">
        <x:v>2.3013910000000002</x:v>
      </x:c>
      <x:c r="C79" s="38">
        <x:v>-4.3</x:v>
      </x:c>
      <x:c r="D79" s="38">
        <x:v>19.2456</x:v>
      </x:c>
      <x:c r="E79" s="10"/>
      <x:c r="F79" s="10"/>
    </x:row>
    <x:row r="80">
      <x:c r="A80" s="9">
        <x:v>42490</x:v>
      </x:c>
      <x:c r="B80" s="38">
        <x:v>2.3278650000000001</x:v>
      </x:c>
      <x:c r="C80" s="38">
        <x:v>-3.4</x:v>
      </x:c>
      <x:c r="D80" s="38">
        <x:v>19.733599999999999</x:v>
      </x:c>
      <x:c r="E80" s="10"/>
      <x:c r="F80" s="10"/>
    </x:row>
    <x:row r="81">
      <x:c r="A81" s="9">
        <x:v>42521</x:v>
      </x:c>
      <x:c r="B81" s="38">
        <x:v>2.038999</x:v>
      </x:c>
      <x:c r="C81" s="38">
        <x:v>-2.8</x:v>
      </x:c>
      <x:c r="D81" s="38">
        <x:v>19.750599999999999</x:v>
      </x:c>
      <x:c r="E81" s="10"/>
      <x:c r="F81" s="10"/>
    </x:row>
    <x:row r="82">
      <x:c r="A82" s="9">
        <x:v>42551</x:v>
      </x:c>
      <x:c r="B82" s="38">
        <x:v>1.8795029999999999</x:v>
      </x:c>
      <x:c r="C82" s="38">
        <x:v>-2.6</x:v>
      </x:c>
      <x:c r="D82" s="38">
        <x:v>20.311699999999998</x:v>
      </x:c>
      <x:c r="E82" s="10"/>
      <x:c r="F82" s="10"/>
    </x:row>
    <x:row r="83">
      <x:c r="A83" s="9">
        <x:v>42582</x:v>
      </x:c>
      <x:c r="B83" s="38">
        <x:v>1.7651129999999999</x:v>
      </x:c>
      <x:c r="C83" s="38">
        <x:v>-1.7</x:v>
      </x:c>
      <x:c r="D83" s="38">
        <x:v>18.712199999999999</x:v>
      </x:c>
      <x:c r="E83" s="10"/>
      <x:c r="F83" s="10"/>
    </x:row>
    <x:row r="84">
      <x:c r="A84" s="9">
        <x:v>42613</x:v>
      </x:c>
      <x:c r="B84" s="38">
        <x:v>1.3397730000000001</x:v>
      </x:c>
      <x:c r="C84" s="38">
        <x:v>-0.8</x:v>
      </x:c>
      <x:c r="D84" s="38">
        <x:v>18.324200000000001</x:v>
      </x:c>
      <x:c r="E84" s="10"/>
      <x:c r="F84" s="10"/>
    </x:row>
    <x:row r="85">
      <x:c r="A85" s="9">
        <x:v>42643</x:v>
      </x:c>
      <x:c r="B85" s="38">
        <x:v>1.920226</x:v>
      </x:c>
      <x:c r="C85" s="38">
        <x:v>0.1</x:v>
      </x:c>
      <x:c r="D85" s="38">
        <x:v>17.9175</x:v>
      </x:c>
      <x:c r="E85" s="10"/>
      <x:c r="F85" s="10"/>
    </x:row>
    <x:row r="86">
      <x:c r="A86" s="9">
        <x:v>42674</x:v>
      </x:c>
      <x:c r="B86" s="38">
        <x:v>2.0959469999999998</x:v>
      </x:c>
      <x:c r="C86" s="38">
        <x:v>1.2</x:v>
      </x:c>
      <x:c r="D86" s="38">
        <x:v>17.585000000000001</x:v>
      </x:c>
      <x:c r="E86" s="10"/>
      <x:c r="F86" s="10"/>
    </x:row>
    <x:row r="87">
      <x:c r="A87" s="9">
        <x:v>42704</x:v>
      </x:c>
      <x:c r="B87" s="38">
        <x:v>2.2522579999999999</x:v>
      </x:c>
      <x:c r="C87" s="38">
        <x:v>3.3</x:v>
      </x:c>
      <x:c r="D87" s="38">
        <x:v>17.213799999999999</x:v>
      </x:c>
      <x:c r="E87" s="10"/>
      <x:c r="F87" s="10"/>
    </x:row>
    <x:row r="88">
      <x:c r="A88" s="9">
        <x:v>42735</x:v>
      </x:c>
      <x:c r="B88" s="38">
        <x:v>2.0765449999999999</x:v>
      </x:c>
      <x:c r="C88" s="38">
        <x:v>5.5</x:v>
      </x:c>
      <x:c r="D88" s="38">
        <x:v>15.714700000000001</x:v>
      </x:c>
      <x:c r="E88" s="10"/>
      <x:c r="F88" s="10"/>
    </x:row>
    <x:row r="89">
      <x:c r="A89" s="9">
        <x:v>42766</x:v>
      </x:c>
      <x:c r="B89" s="38">
        <x:v>2.5490550000000001</x:v>
      </x:c>
      <x:c r="C89" s="38">
        <x:v>6.9</x:v>
      </x:c>
      <x:c r="D89" s="38">
        <x:v>0</x:v>
      </x:c>
      <x:c r="E89" s="10"/>
      <x:c r="F89" s="10"/>
    </x:row>
    <x:row r="90">
      <x:c r="A90" s="9">
        <x:v>42794</x:v>
      </x:c>
      <x:c r="B90" s="38">
        <x:v>0.8</x:v>
      </x:c>
      <x:c r="C90" s="38">
        <x:v>7.8</x:v>
      </x:c>
      <x:c r="D90" s="38">
        <x:v>21.262599999999999</x:v>
      </x:c>
      <x:c r="E90" s="10"/>
      <x:c r="F90" s="10"/>
    </x:row>
    <x:row r="91">
      <x:c r="A91" s="9">
        <x:v>42825</x:v>
      </x:c>
      <x:c r="B91" s="38">
        <x:v>0.9</x:v>
      </x:c>
      <x:c r="C91" s="38">
        <x:v>7.6</x:v>
      </x:c>
      <x:c r="D91" s="38">
        <x:v>18.675799999999999</x:v>
      </x:c>
      <x:c r="E91" s="10"/>
      <x:c r="F91" s="10"/>
    </x:row>
    <x:row r="92">
      <x:c r="A92" s="9">
        <x:v>42855</x:v>
      </x:c>
      <x:c r="B92" s="38">
        <x:v>1.2</x:v>
      </x:c>
      <x:c r="C92" s="38">
        <x:v>6.4</x:v>
      </x:c>
      <x:c r="D92" s="38">
        <x:v>18.2135</x:v>
      </x:c>
      <x:c r="E92" s="10"/>
      <x:c r="F92" s="10"/>
    </x:row>
    <x:row r="93">
      <x:c r="A93" s="9">
        <x:v>42886</x:v>
      </x:c>
      <x:c r="B93" s="38">
        <x:v>1.5</x:v>
      </x:c>
      <x:c r="C93" s="38">
        <x:v>5.5</x:v>
      </x:c>
      <x:c r="D93" s="38">
        <x:v>16.656099999999999</x:v>
      </x:c>
      <x:c r="E93" s="10"/>
      <x:c r="F93" s="10"/>
    </x:row>
    <x:row r="94">
      <x:c r="A94" s="9">
        <x:v>42916</x:v>
      </x:c>
      <x:c r="B94" s="38">
        <x:v>1.5</x:v>
      </x:c>
      <x:c r="C94" s="38">
        <x:v>5.5</x:v>
      </x:c>
      <x:c r="D94" s="38">
        <x:v>16.849599999999999</x:v>
      </x:c>
      <x:c r="E94" s="10"/>
      <x:c r="F94" s="10"/>
    </x:row>
    <x:row r="95">
      <x:c r="A95" s="9">
        <x:v>42947</x:v>
      </x:c>
      <x:c r="B95" s="38">
        <x:v>1.4</x:v>
      </x:c>
      <x:c r="C95" s="38">
        <x:v>5.5</x:v>
      </x:c>
      <x:c r="D95" s="38">
        <x:v>16.667400000000001</x:v>
      </x:c>
      <x:c r="E95" s="10"/>
      <x:c r="F95" s="10"/>
    </x:row>
    <x:row r="96">
      <x:c r="A96" s="14">
        <x:v>42978</x:v>
      </x:c>
      <x:c r="B96" s="32">
        <x:v>1.8</x:v>
      </x:c>
      <x:c r="C96" s="32">
        <x:v>6.3</x:v>
      </x:c>
      <x:c r="D96" s="32">
        <x:v>16.0914</x:v>
      </x:c>
    </x:row>
    <x:row r="97">
      <x:c r="A97" s="14">
        <x:v>43008</x:v>
      </x:c>
      <x:c r="B97" s="32">
        <x:v>1.6</x:v>
      </x:c>
      <x:c r="C97" s="32">
        <x:v>6.9</x:v>
      </x:c>
      <x:c r="D97" s="32">
        <x:v>15.8842</x:v>
      </x:c>
    </x:row>
    <x:row r="98">
      <x:c r="A98" s="14">
        <x:v>43039</x:v>
      </x:c>
      <x:c r="B98" s="32">
        <x:v>1.9</x:v>
      </x:c>
      <x:c r="C98" s="32">
        <x:v>6.9</x:v>
      </x:c>
      <x:c r="D98" s="32">
        <x:v>15.853899999999999</x:v>
      </x:c>
    </x:row>
    <x:row r="99">
      <x:c r="A99" s="14">
        <x:v>43069</x:v>
      </x:c>
      <x:c r="B99" s="32">
        <x:v>1.7</x:v>
      </x:c>
      <x:c r="C99" s="32">
        <x:v>5.8</x:v>
      </x:c>
      <x:c r="D99" s="32">
        <x:v>15.8284</x:v>
      </x:c>
    </x:row>
    <x:row r="100">
      <x:c r="A100" s="14">
        <x:v>43100</x:v>
      </x:c>
      <x:c r="B100" s="32">
        <x:v>1.8</x:v>
      </x:c>
      <x:c r="C100" s="32">
        <x:v>4.9000000000000004</x:v>
      </x:c>
      <x:c r="D100" s="32">
        <x:v>14.9312</x:v>
      </x:c>
    </x:row>
    <x:row r="101">
      <x:c r="A101" s="14">
        <x:v>43131</x:v>
      </x:c>
      <x:c r="B101" s="32">
        <x:v>1.5</x:v>
      </x:c>
      <x:c r="C101" s="32">
        <x:v>4.3</x:v>
      </x:c>
      <x:c r="D101" s="32">
        <x:v>0</x:v>
      </x:c>
    </x:row>
    <x:row r="102">
      <x:c r="A102" s="14">
        <x:v>43159</x:v>
      </x:c>
      <x:c r="B102" s="32">
        <x:v>2.9</x:v>
      </x:c>
      <x:c r="C102" s="32">
        <x:v>3.7</x:v>
      </x:c>
      <x:c r="D102" s="32">
        <x:v>11.34</x:v>
      </x:c>
    </x:row>
    <x:row r="103">
      <x:c r="A103" s="14">
        <x:v>43190</x:v>
      </x:c>
      <x:c r="B103" s="32">
        <x:v>2.1</x:v>
      </x:c>
      <x:c r="C103" s="32">
        <x:v>3.1</x:v>
      </x:c>
      <x:c r="D103" s="32">
        <x:v>8.34</x:v>
      </x:c>
    </x:row>
    <x:row r="104">
      <x:c r="A104" s="14">
        <x:v>43220</x:v>
      </x:c>
      <x:c r="B104" s="32">
        <x:v>1.8</x:v>
      </x:c>
      <x:c r="C104" s="32">
        <x:v>3.4</x:v>
      </x:c>
      <x:c r="D104" s="32">
        <x:v>7.63</x:v>
      </x:c>
    </x:row>
    <x:row r="105">
      <x:c r="A105" s="14">
        <x:v>43251</x:v>
      </x:c>
      <x:c r="B105" s="32">
        <x:v>1.8</x:v>
      </x:c>
      <x:c r="C105" s="32">
        <x:v>4.0999999999999996</x:v>
      </x:c>
      <x:c r="D105" s="32">
        <x:v>5.0199999999999996</x:v>
      </x:c>
    </x:row>
    <x:row r="106">
      <x:c r="A106" s="14">
        <x:v>43281</x:v>
      </x:c>
      <x:c r="B106" s="32">
        <x:v>1.9</x:v>
      </x:c>
      <x:c r="C106" s="32">
        <x:v>4.7</x:v>
      </x:c>
      <x:c r="D106" s="32">
        <x:v>3.31</x:v>
      </x:c>
    </x:row>
    <x:row r="107">
      <x:c r="A107" s="14">
        <x:v>43312</x:v>
      </x:c>
      <x:c r="B107" s="32">
        <x:v>2.1</x:v>
      </x:c>
      <x:c r="C107" s="32">
        <x:v>4.5999999999999996</x:v>
      </x:c>
      <x:c r="D107" s="32">
        <x:v>1.8</x:v>
      </x:c>
    </x:row>
    <x:row r="108">
      <x:c r="A108" s="14">
        <x:v>43343</x:v>
      </x:c>
      <x:c r="B108" s="32">
        <x:v>2.2999999999999998</x:v>
      </x:c>
      <x:c r="C108" s="32">
        <x:v>4.0999999999999996</x:v>
      </x:c>
      <x:c r="D108" s="32">
        <x:v>0.66</x:v>
      </x:c>
    </x:row>
    <x:row r="109">
      <x:c r="A109" s="14">
        <x:v>43373</x:v>
      </x:c>
      <x:c r="B109" s="32">
        <x:v>2.5</x:v>
      </x:c>
      <x:c r="C109" s="32">
        <x:v>3.6</x:v>
      </x:c>
      <x:c r="D109" s="32">
        <x:v>0.26</x:v>
      </x:c>
    </x:row>
    <x:row r="110">
      <x:c r="A110" s="14">
        <x:v>43404</x:v>
      </x:c>
      <x:c r="B110" s="32">
        <x:v>2.5</x:v>
      </x:c>
      <x:c r="C110" s="32">
        <x:v>3.3</x:v>
      </x:c>
      <x:c r="D110" s="32">
        <x:v>0.92</x:v>
      </x:c>
    </x:row>
    <x:row r="111">
      <x:c r="A111" s="14">
        <x:v>43434</x:v>
      </x:c>
      <x:c r="B111" s="32">
        <x:v>2.2000000000000002</x:v>
      </x:c>
      <x:c r="C111" s="32">
        <x:v>2.7</x:v>
      </x:c>
      <x:c r="D111" s="32">
        <x:v>1.19</x:v>
      </x:c>
    </x:row>
    <x:row r="112">
      <x:c r="A112" s="14">
        <x:v>43465</x:v>
      </x:c>
      <x:c r="B112" s="32">
        <x:v>1.9</x:v>
      </x:c>
      <x:c r="C112" s="32">
        <x:v>0.9</x:v>
      </x:c>
      <x:c r="D112" s="32">
        <x:v>1.79</x:v>
      </x:c>
    </x:row>
    <x:row r="113">
      <x:c r="A113" s="14">
        <x:v>43496</x:v>
      </x:c>
      <x:c r="B113" s="32">
        <x:v>1.7</x:v>
      </x:c>
      <x:c r="C113" s="32">
        <x:v>0.1</x:v>
      </x:c>
      <x:c r="D113" s="32">
        <x:v>0</x:v>
      </x:c>
    </x:row>
    <x:row r="114">
      <x:c r="A114" s="14">
        <x:v>43524</x:v>
      </x:c>
      <x:c r="B114" s="32">
        <x:v>1.5</x:v>
      </x:c>
      <x:c r="C114" s="32">
        <x:v>0.1</x:v>
      </x:c>
      <x:c r="D114" s="32">
        <x:v>2.5</x:v>
      </x:c>
    </x:row>
    <x:row r="115">
      <x:c r="A115" s="14">
        <x:v>43555</x:v>
      </x:c>
      <x:c r="B115" s="32">
        <x:v>2.2999999999999998</x:v>
      </x:c>
      <x:c r="C115" s="32">
        <x:v>0.4</x:v>
      </x:c>
      <x:c r="D115" s="32">
        <x:v>2.95</x:v>
      </x:c>
    </x:row>
    <x:row r="116">
      <x:c r="A116" s="14">
        <x:v>43585</x:v>
      </x:c>
      <x:c r="B116" s="32">
        <x:v>2.5</x:v>
      </x:c>
      <x:c r="C116" s="32">
        <x:v>0.9</x:v>
      </x:c>
      <x:c r="D116" s="32">
        <x:v>2.97</x:v>
      </x:c>
    </x:row>
    <x:row r="117">
      <x:c r="A117" s="14">
        <x:v>43616</x:v>
      </x:c>
      <x:c r="B117" s="32">
        <x:v>2.7</x:v>
      </x:c>
      <x:c r="C117" s="32">
        <x:v>0.6</x:v>
      </x:c>
      <x:c r="D117" s="32">
        <x:v>2.6</x:v>
      </x:c>
    </x:row>
    <x:row r="118">
      <x:c r="A118" s="14">
        <x:v>43646</x:v>
      </x:c>
      <x:c r="B118" s="32">
        <x:v>2.7</x:v>
      </x:c>
      <x:c r="C118" s="32">
        <x:v>0</x:v>
      </x:c>
      <x:c r="D118" s="32">
        <x:v>2.95</x:v>
      </x:c>
    </x:row>
    <x:row r="119">
      <x:c r="A119" s="14">
        <x:v>43677</x:v>
      </x:c>
      <x:c r="B119" s="32">
        <x:v>2.8</x:v>
      </x:c>
      <x:c r="C119" s="32">
        <x:v>-0.3</x:v>
      </x:c>
      <x:c r="D119" s="32">
        <x:v>2.91</x:v>
      </x:c>
    </x:row>
    <x:row r="120">
      <x:c r="A120" s="14">
        <x:v>43708</x:v>
      </x:c>
      <x:c r="B120" s="32">
        <x:v>2.8</x:v>
      </x:c>
      <x:c r="C120" s="32">
        <x:v>-0.8</x:v>
      </x:c>
      <x:c r="D120" s="32">
        <x:v>3.19</x:v>
      </x:c>
    </x:row>
    <x:row r="121">
      <x:c r="A121" s="14">
        <x:v>43738</x:v>
      </x:c>
      <x:c r="B121" s="32">
        <x:v>3</x:v>
      </x:c>
      <x:c r="C121" s="32">
        <x:v>-1.2</x:v>
      </x:c>
      <x:c r="D121" s="32">
        <x:v>3.44</x:v>
      </x:c>
    </x:row>
    <x:row r="122">
      <x:c r="A122" s="14">
        <x:v>43769</x:v>
      </x:c>
      <x:c r="B122" s="32">
        <x:v>3.8</x:v>
      </x:c>
      <x:c r="C122" s="32">
        <x:v>-1.6</x:v>
      </x:c>
      <x:c r="D122" s="32">
        <x:v>3.26</x:v>
      </x:c>
    </x:row>
    <x:row r="123">
      <x:c r="A123" s="14">
        <x:v>43799</x:v>
      </x:c>
      <x:c r="B123" s="32">
        <x:v>4.5</x:v>
      </x:c>
      <x:c r="C123" s="32">
        <x:v>-1.4</x:v>
      </x:c>
      <x:c r="D123" s="32">
        <x:v>3.47</x:v>
      </x:c>
    </x:row>
    <x:row r="124">
      <x:c r="A124" s="14">
        <x:v>43830</x:v>
      </x:c>
      <x:c r="B124" s="32">
        <x:v>4.5</x:v>
      </x:c>
      <x:c r="C124" s="32">
        <x:v>-0.5</x:v>
      </x:c>
      <x:c r="D124" s="32">
        <x:v>3.33</x:v>
      </x:c>
    </x:row>
    <x:row r="125">
      <x:c r="A125" s="14">
        <x:v>43861</x:v>
      </x:c>
      <x:c r="B125" s="32">
        <x:v>5.4</x:v>
      </x:c>
      <x:c r="C125" s="32">
        <x:v>0.1</x:v>
      </x:c>
      <x:c r="D125" s="32">
        <x:v>0</x:v>
      </x:c>
    </x:row>
    <x:row r="126">
      <x:c r="A126" s="14">
        <x:v>43890</x:v>
      </x:c>
      <x:c r="B126" s="32">
        <x:v>5.2</x:v>
      </x:c>
      <x:c r="C126" s="32">
        <x:v>-0.4</x:v>
      </x:c>
      <x:c r="D126" s="32">
        <x:v>-26.86</x:v>
      </x:c>
    </x:row>
    <x:row r="127">
      <x:c r="A127" s="14">
        <x:v>43921</x:v>
      </x:c>
      <x:c r="B127" s="32">
        <x:v>4.3</x:v>
      </x:c>
      <x:c r="C127" s="32">
        <x:v>-1.5</x:v>
      </x:c>
      <x:c r="D127" s="32">
        <x:v>-16.36</x:v>
      </x:c>
    </x:row>
    <x:row r="128">
      <x:c r="A128" s="14">
        <x:v>43951</x:v>
      </x:c>
      <x:c r="B128" s="32">
        <x:v>3.3</x:v>
      </x:c>
      <x:c r="C128" s="32">
        <x:v>-3.1</x:v>
      </x:c>
      <x:c r="D128" s="32">
        <x:v>-8.7799999999999994</x:v>
      </x:c>
    </x:row>
    <x:row r="129">
      <x:c r="A129" s="14">
        <x:v>43982</x:v>
      </x:c>
      <x:c r="B129" s="32">
        <x:v>2.4</x:v>
      </x:c>
      <x:c r="C129" s="32">
        <x:v>-3.7</x:v>
      </x:c>
      <x:c r="D129" s="32">
        <x:v>-3.31</x:v>
      </x:c>
    </x:row>
    <x:row r="130">
      <x:c r="A130" s="14">
        <x:v>44012</x:v>
      </x:c>
      <x:c r="B130" s="32">
        <x:v>2.5</x:v>
      </x:c>
      <x:c r="C130" s="32">
        <x:v>-3</x:v>
      </x:c>
      <x:c r="D130" s="32">
        <x:v>-7.0000000000000007E-2</x:v>
      </x:c>
    </x:row>
    <x:row r="131">
      <x:c r="A131" s="14">
        <x:v>44043</x:v>
      </x:c>
      <x:c r="B131" s="32">
        <x:v>2.7</x:v>
      </x:c>
      <x:c r="C131" s="32">
        <x:v>-2.4</x:v>
      </x:c>
      <x:c r="D131" s="32">
        <x:v>1.19</x:v>
      </x:c>
    </x:row>
    <x:row r="132">
      <x:c r="A132" s="14">
        <x:v>44074</x:v>
      </x:c>
      <x:c r="B132" s="32">
        <x:v>2.4</x:v>
      </x:c>
      <x:c r="C132" s="32">
        <x:v>-2</x:v>
      </x:c>
      <x:c r="D132" s="32">
        <x:v>2.02</x:v>
      </x:c>
    </x:row>
    <x:row r="133">
      <x:c r="A133" s="14">
        <x:v>44104</x:v>
      </x:c>
      <x:c r="B133" s="32">
        <x:v>1.7</x:v>
      </x:c>
      <x:c r="C133" s="32">
        <x:v>-2.1</x:v>
      </x:c>
      <x:c r="D133" s="32">
        <x:v>2.42</x:v>
      </x:c>
    </x:row>
    <x:row r="134">
      <x:c r="A134" s="14">
        <x:v>44135</x:v>
      </x:c>
      <x:c r="B134" s="32">
        <x:v>0.5</x:v>
      </x:c>
      <x:c r="C134" s="32">
        <x:v>-2.1</x:v>
      </x:c>
      <x:c r="D134" s="32">
        <x:v>3.01</x:v>
      </x:c>
    </x:row>
    <x:row r="135">
      <x:c r="A135" s="14">
        <x:v>44165</x:v>
      </x:c>
      <x:c r="B135" s="32">
        <x:v>-0.5</x:v>
      </x:c>
      <x:c r="C135" s="32">
        <x:v>-1.5</x:v>
      </x:c>
      <x:c r="D135" s="32">
        <x:v>3.32</x:v>
      </x:c>
    </x:row>
    <x:row r="136">
      <x:c r="A136" s="14">
        <x:v>44196</x:v>
      </x:c>
      <x:c r="B136" s="32">
        <x:v>0.2</x:v>
      </x:c>
      <x:c r="C136" s="32">
        <x:v>-0.4</x:v>
      </x:c>
      <x:c r="D136" s="32">
        <x:v>3.41</x:v>
      </x:c>
    </x:row>
    <x:row r="137">
      <x:c r="A137" s="14">
        <x:v>44227</x:v>
      </x:c>
      <x:c r="B137" s="32">
        <x:v>-0.3</x:v>
      </x:c>
      <x:c r="C137" s="32">
        <x:v>0.3</x:v>
      </x:c>
      <x:c r="D137" s="32">
        <x:v>0</x:v>
      </x:c>
    </x:row>
    <x:row r="138">
      <x:c r="A138" s="14">
        <x:v>44255</x:v>
      </x:c>
      <x:c r="B138" s="32">
        <x:v>-0.2</x:v>
      </x:c>
      <x:c r="C138" s="32">
        <x:v>1.7</x:v>
      </x:c>
      <x:c r="D138" s="32">
        <x:v>34.950000000000003</x:v>
      </x:c>
    </x:row>
    <x:row r="139">
      <x:c r="A139" s="14">
        <x:v>44286</x:v>
      </x:c>
      <x:c r="B139" s="32">
        <x:v>0.4</x:v>
      </x:c>
      <x:c r="C139" s="32">
        <x:v>4.4000000000000004</x:v>
      </x:c>
      <x:c r="D139" s="32">
        <x:v>26.76</x:v>
      </x:c>
    </x:row>
    <x:row r="140">
      <x:c r="A140" s="14">
        <x:v>44316</x:v>
      </x:c>
      <x:c r="B140" s="32">
        <x:v>0.9</x:v>
      </x:c>
      <x:c r="C140" s="32">
        <x:v>6.8</x:v>
      </x:c>
      <x:c r="D140" s="32">
        <x:v>16.91</x:v>
      </x:c>
    </x:row>
    <x:row r="141">
      <x:c r="A141" s="14">
        <x:v>44347</x:v>
      </x:c>
      <x:c r="B141" s="32">
        <x:v>1.3</x:v>
      </x:c>
      <x:c r="C141" s="32">
        <x:v>9</x:v>
      </x:c>
      <x:c r="D141" s="32">
        <x:v>10.36</x:v>
      </x:c>
    </x:row>
    <x:row r="142">
      <x:c r="A142" s="14">
        <x:v>44377</x:v>
      </x:c>
      <x:c r="B142" s="32">
        <x:v>1.1000000000000001</x:v>
      </x:c>
      <x:c r="C142" s="32">
        <x:v>8.8000000000000007</x:v>
      </x:c>
      <x:c r="D142" s="32">
        <x:v>7.15</x:v>
      </x:c>
    </x:row>
    <x:row r="143">
      <x:c r="A143" s="14">
        <x:v>44408</x:v>
      </x:c>
      <x:c r="B143" s="32">
        <x:v>1</x:v>
      </x:c>
      <x:c r="C143" s="32">
        <x:v>9</x:v>
      </x:c>
      <x:c r="D143" s="32">
        <x:v>4.1900000000000004</x:v>
      </x:c>
    </x:row>
    <x:row r="144">
      <x:c r="A144" s="14">
        <x:v>44439</x:v>
      </x:c>
      <x:c r="B144" s="32">
        <x:v>0.8</x:v>
      </x:c>
      <x:c r="C144" s="32">
        <x:v>9.5</x:v>
      </x:c>
      <x:c r="D144" s="32">
        <x:v>2.58</x:v>
      </x:c>
    </x:row>
    <x:row r="145">
      <x:c r="A145" s="14">
        <x:v>44469</x:v>
      </x:c>
      <x:c r="B145" s="32">
        <x:v>0.7</x:v>
      </x:c>
      <x:c r="C145" s="32">
        <x:v>10.7</x:v>
      </x:c>
      <x:c r="D145" s="32">
        <x:v>1.52</x:v>
      </x:c>
    </x:row>
    <x:row r="146">
      <x:c r="A146" s="14">
        <x:v>44500</x:v>
      </x:c>
      <x:c r="B146" s="32">
        <x:v>1.5</x:v>
      </x:c>
      <x:c r="C146" s="32">
        <x:v>13.5</x:v>
      </x:c>
      <x:c r="D146" s="32">
        <x:v>0.72</x:v>
      </x:c>
    </x:row>
    <x:row r="147">
      <x:c r="A147" s="14">
        <x:v>44530</x:v>
      </x:c>
      <x:c r="B147" s="32">
        <x:v>2.2999999999999998</x:v>
      </x:c>
      <x:c r="C147" s="32">
        <x:v>12.9</x:v>
      </x:c>
      <x:c r="D147" s="32">
        <x:v>-0.17</x:v>
      </x:c>
    </x:row>
    <x:row r="148">
      <x:c r="A148" s="14">
        <x:v>44561</x:v>
      </x:c>
      <x:c r="B148" s="32">
        <x:v>1.5</x:v>
      </x:c>
      <x:c r="C148" s="32">
        <x:v>10.3</x:v>
      </x:c>
      <x:c r="D148" s="32">
        <x:v>0.21</x:v>
      </x:c>
    </x:row>
    <x:row r="149">
      <x:c r="A149" s="14">
        <x:v>44592</x:v>
      </x:c>
      <x:c r="B149" s="32">
        <x:v>0.9</x:v>
      </x:c>
      <x:c r="C149" s="32">
        <x:v>9.1</x:v>
      </x:c>
      <x:c r="D149" s="32">
        <x:v>0</x:v>
      </x:c>
    </x:row>
    <x:row r="150">
      <x:c r="A150" s="14">
        <x:v>44620</x:v>
      </x:c>
      <x:c r="B150" s="32">
        <x:v>0.9</x:v>
      </x:c>
      <x:c r="C150" s="32">
        <x:v>8.8000000000000007</x:v>
      </x:c>
      <x:c r="D150" s="32">
        <x:v>8.61</x:v>
      </x:c>
    </x:row>
    <x:row r="151">
      <x:c r="A151" s="14">
        <x:v>44651</x:v>
      </x:c>
      <x:c r="B151" s="32">
        <x:v>1.5</x:v>
      </x:c>
      <x:c r="C151" s="32">
        <x:v>8.3000000000000007</x:v>
      </x:c>
      <x:c r="D151" s="32">
        <x:v>10.48</x:v>
      </x:c>
    </x:row>
    <x:row r="152">
      <x:c r="A152" s="14">
        <x:v>44681</x:v>
      </x:c>
      <x:c r="B152" s="32">
        <x:v>2.1</x:v>
      </x:c>
      <x:c r="C152" s="32">
        <x:v>8</x:v>
      </x:c>
      <x:c r="D152" s="32">
        <x:v>8.26</x:v>
      </x:c>
    </x:row>
    <x:row r="153">
      <x:c r="A153" s="14">
        <x:v>44712</x:v>
      </x:c>
      <x:c r="B153" s="32">
        <x:v>2.1</x:v>
      </x:c>
      <x:c r="C153" s="32">
        <x:v>6.4</x:v>
      </x:c>
      <x:c r="D153" s="32">
        <x:v>8.16</x:v>
      </x:c>
    </x:row>
    <x:row r="154">
      <x:c r="A154" s="14">
        <x:v>44742</x:v>
      </x:c>
      <x:c r="B154" s="32">
        <x:v>2.5</x:v>
      </x:c>
      <x:c r="C154" s="32">
        <x:v>6.1</x:v>
      </x:c>
      <x:c r="D154" s="32">
        <x:v>9.25</x:v>
      </x:c>
    </x:row>
    <x:row r="155">
      <x:c r="A155" s="14">
        <x:v>44773</x:v>
      </x:c>
      <x:c r="B155" s="32">
        <x:v>2.7</x:v>
      </x:c>
      <x:c r="C155" s="32">
        <x:v>4.2</x:v>
      </x:c>
      <x:c r="D155" s="32">
        <x:v>9.58</x:v>
      </x:c>
    </x:row>
    <x:row r="156">
      <x:c r="A156" s="14">
        <x:v>44804</x:v>
      </x:c>
      <x:c r="B156" s="32">
        <x:v>2.5</x:v>
      </x:c>
      <x:c r="C156" s="32">
        <x:v>2.2999999999999998</x:v>
      </x:c>
      <x:c r="D156" s="32">
        <x:v>10.37</x:v>
      </x:c>
    </x:row>
    <x:row r="157">
      <x:c r="A157" s="14">
        <x:v>44834</x:v>
      </x:c>
      <x:c r="B157" s="32">
        <x:v>2.8</x:v>
      </x:c>
      <x:c r="C157" s="32">
        <x:v>0.9</x:v>
      </x:c>
      <x:c r="D157" s="32">
        <x:v>11.2</x:v>
      </x:c>
    </x:row>
    <x:row r="158">
      <x:c r="A158" s="14">
        <x:v>44865</x:v>
      </x:c>
      <x:c r="B158" s="32">
        <x:v>2.1</x:v>
      </x:c>
      <x:c r="C158" s="32">
        <x:v>-1.3</x:v>
      </x:c>
      <x:c r="D158" s="32">
        <x:v>11.39</x:v>
      </x:c>
    </x:row>
    <x:row r="159">
      <x:c r="A159" s="14">
        <x:v>44895</x:v>
      </x:c>
      <x:c r="B159" s="32">
        <x:v>1.6</x:v>
      </x:c>
      <x:c r="C159" s="32">
        <x:v>-1.3</x:v>
      </x:c>
      <x:c r="D159" s="32">
        <x:v>11.65</x:v>
      </x:c>
    </x:row>
    <x:row r="160">
      <x:c r="A160" s="14">
        <x:v>44926</x:v>
      </x:c>
      <x:c r="B160" s="32">
        <x:v>1.8</x:v>
      </x:c>
      <x:c r="C160" s="32">
        <x:v>-0.7</x:v>
      </x:c>
      <x:c r="D160" s="32">
        <x:v>11.52</x:v>
      </x:c>
    </x:row>
    <x:row r="161">
      <x:c r="A161" s="14">
        <x:v>44957</x:v>
      </x:c>
      <x:c r="B161" s="32">
        <x:v>2.1</x:v>
      </x:c>
      <x:c r="C161" s="32">
        <x:v>-0.8</x:v>
      </x:c>
      <x:c r="D161" s="32">
        <x:v>0</x:v>
      </x:c>
    </x:row>
    <x:row r="162">
      <x:c r="A162" s="14">
        <x:v>44985</x:v>
      </x:c>
      <x:c r="B162" s="32">
        <x:v>1</x:v>
      </x:c>
      <x:c r="C162" s="32">
        <x:v>-1.4</x:v>
      </x:c>
      <x:c r="D162" s="32">
        <x:v>12.18</x:v>
      </x:c>
    </x:row>
    <x:row r="163">
      <x:c r="A163" s="14">
        <x:v>45016</x:v>
      </x:c>
      <x:c r="B163" s="32">
        <x:v>0.7</x:v>
      </x:c>
      <x:c r="C163" s="32">
        <x:v>-2.5</x:v>
      </x:c>
      <x:c r="D163" s="32">
        <x:v>10.82</x:v>
      </x:c>
    </x:row>
    <x:row r="164">
      <x:c r="A164" s="14">
        <x:v>45046</x:v>
      </x:c>
      <x:c r="B164" s="32">
        <x:v>0.1</x:v>
      </x:c>
      <x:c r="C164" s="32">
        <x:v>-3.6</x:v>
      </x:c>
      <x:c r="D164" s="32">
        <x:v>9.8000000000000007</x:v>
      </x:c>
    </x:row>
    <x:row r="165">
      <x:c r="A165" s="14">
        <x:v>45077</x:v>
      </x:c>
      <x:c r="B165" s="32">
        <x:v>0.2</x:v>
      </x:c>
      <x:c r="C165" s="32">
        <x:v>-4.5999999999999996</x:v>
      </x:c>
      <x:c r="D165" s="32">
        <x:v>9.5299999999999994</x:v>
      </x:c>
    </x:row>
    <x:row r="166">
      <x:c r="A166" s="14">
        <x:v>45107</x:v>
      </x:c>
      <x:c r="B166" s="32">
        <x:v>0</x:v>
      </x:c>
      <x:c r="C166" s="32">
        <x:v>-5.4</x:v>
      </x:c>
      <x:c r="D166" s="32">
        <x:v>10.15</x:v>
      </x:c>
    </x:row>
    <x:row r="167">
      <x:c r="A167" s="14">
        <x:v>45138</x:v>
      </x:c>
      <x:c r="B167" s="32">
        <x:v>-0.3</x:v>
      </x:c>
      <x:c r="C167" s="32">
        <x:v>-4.4000000000000004</x:v>
      </x:c>
      <x:c r="D167" s="32">
        <x:v>9.41</x:v>
      </x:c>
    </x:row>
    <x:row r="168">
      <x:c r="A168" s="14">
        <x:v>45169</x:v>
      </x:c>
      <x:c r="B168" s="32">
        <x:v>0.1</x:v>
      </x:c>
      <x:c r="C168" s="32">
        <x:v>-3</x:v>
      </x:c>
      <x:c r="D168" s="32">
        <x:v>8.9600000000000009</x:v>
      </x:c>
    </x:row>
    <x:row r="169">
      <x:c r="A169" s="14">
        <x:v>45199</x:v>
      </x:c>
      <x:c r="B169" s="32">
        <x:v>0</x:v>
      </x:c>
      <x:c r="C169" s="32">
        <x:v>-2.5</x:v>
      </x:c>
      <x:c r="D169" s="32">
        <x:v>8.64</x:v>
      </x:c>
    </x:row>
    <x:row r="170">
      <x:c r="A170" s="14">
        <x:v>45230</x:v>
      </x:c>
      <x:c r="B170" s="32">
        <x:v>-0.2</x:v>
      </x:c>
      <x:c r="C170" s="32">
        <x:v>-2.6</x:v>
      </x:c>
      <x:c r="D170" s="32">
        <x:v>8.27</x:v>
      </x:c>
    </x:row>
    <x:row r="171">
      <x:c r="A171" s="14">
        <x:v>45260</x:v>
      </x:c>
      <x:c r="B171" s="32">
        <x:v>-0.5</x:v>
      </x:c>
      <x:c r="C171" s="32">
        <x:v>-3</x:v>
      </x:c>
      <x:c r="D171" s="32">
        <x:v>7.96</x:v>
      </x:c>
    </x:row>
    <x:row r="172">
      <x:c r="A172" s="14">
        <x:v>45291</x:v>
      </x:c>
      <x:c r="B172" s="32">
        <x:v>-0.3</x:v>
      </x:c>
      <x:c r="C172" s="32">
        <x:v>-2.7</x:v>
      </x:c>
      <x:c r="D172" s="32">
        <x:v>8.24</x:v>
      </x:c>
    </x:row>
    <x:row r="173">
      <x:c r="A173" s="14">
        <x:v>45322</x:v>
      </x:c>
      <x:c r="B173" s="32">
        <x:v>-0.8</x:v>
      </x:c>
      <x:c r="C173" s="32">
        <x:v>-2.5</x:v>
      </x:c>
      <x:c r="D173" s="32">
        <x:v>0</x:v>
      </x:c>
    </x:row>
    <x:row r="174">
      <x:c r="A174" s="14">
        <x:v>45351</x:v>
      </x:c>
      <x:c r="B174" s="32">
        <x:v>0.7</x:v>
      </x:c>
      <x:c r="C174" s="32">
        <x:v>-2.7</x:v>
      </x:c>
      <x:c r="D174" s="32">
        <x:v>8.9600000000000009</x:v>
      </x:c>
    </x:row>
    <x:row r="175">
      <x:c r="A175" s="14">
        <x:v>45382</x:v>
      </x:c>
      <x:c r="B175" s="32">
        <x:v>0.1</x:v>
      </x:c>
      <x:c r="C175" s="32">
        <x:v>-2.8</x:v>
      </x:c>
      <x:c r="D175" s="32">
        <x:v>8.75</x:v>
      </x:c>
    </x:row>
    <x:row r="176">
      <x:c r="A176" s="14">
        <x:v>45412</x:v>
      </x:c>
      <x:c r="B176" s="32">
        <x:v>0.3</x:v>
      </x:c>
      <x:c r="C176" s="32">
        <x:v>-2.5</x:v>
      </x:c>
      <x:c r="D176" s="32">
        <x:v>7.78</x:v>
      </x:c>
    </x:row>
    <x:row r="177">
      <x:c r="A177" s="14">
        <x:v>45443</x:v>
      </x:c>
      <x:c r="B177" s="32">
        <x:v>0.3</x:v>
      </x:c>
      <x:c r="C177" s="32">
        <x:v>-1.4</x:v>
      </x:c>
      <x:c r="D177" s="32">
        <x:v>6.68</x:v>
      </x:c>
    </x:row>
    <x:row r="178">
      <x:c r="A178" s="14">
        <x:v>45473</x:v>
      </x:c>
      <x:c r="B178" s="32">
        <x:v>0.2</x:v>
      </x:c>
      <x:c r="C178" s="32">
        <x:v>-0.8</x:v>
      </x:c>
      <x:c r="D178" s="32">
        <x:v>7.7</x:v>
      </x:c>
    </x:row>
    <x:row r="179">
      <x:c r="A179" s="14">
        <x:v>45504</x:v>
      </x:c>
      <x:c r="B179" s="32">
        <x:v>0.5</x:v>
      </x:c>
      <x:c r="C179" s="32">
        <x:v>-0.8</x:v>
      </x:c>
      <x:c r="D179" s="32">
        <x:v>8.14</x:v>
      </x:c>
    </x:row>
    <x:row r="180">
      <x:c r="A180" s="14">
        <x:v>45535</x:v>
      </x:c>
      <x:c r="B180" s="32">
        <x:v>0.6</x:v>
      </x:c>
      <x:c r="C180" s="32">
        <x:v>-1.8</x:v>
      </x:c>
      <x:c r="D180" s="32">
        <x:v>7.87</x:v>
      </x:c>
    </x:row>
    <x:row r="181">
      <x:c r="A181" s="14">
        <x:v>45565</x:v>
      </x:c>
      <x:c r="B181" s="32">
        <x:v>0.4</x:v>
      </x:c>
      <x:c r="C181" s="32">
        <x:v>-2.8</x:v>
      </x:c>
      <x:c r="D181" s="32">
        <x:v>9.26</x:v>
      </x:c>
    </x:row>
    <x:row r="182">
      <x:c r="A182" s="14">
        <x:v>45596</x:v>
      </x:c>
      <x:c r="B182" s="32">
        <x:v>0.3</x:v>
      </x:c>
      <x:c r="C182" s="32">
        <x:v>-2.9</x:v>
      </x:c>
      <x:c r="D182" s="32">
        <x:v>9.35</x:v>
      </x:c>
    </x:row>
    <x:row r="183">
      <x:c r="A183" s="14">
        <x:v>45626</x:v>
      </x:c>
      <x:c r="B183" s="32">
        <x:v>0.2</x:v>
      </x:c>
      <x:c r="C183" s="32">
        <x:v>-2.5</x:v>
      </x:c>
      <x:c r="D183" s="32">
        <x:v>9.39</x:v>
      </x:c>
    </x:row>
    <x:row r="184">
      <x:c r="A184" s="14">
        <x:v>45657</x:v>
      </x:c>
      <x:c r="B184" s="32">
        <x:v>0.1</x:v>
      </x:c>
      <x:c r="C184" s="32">
        <x:v>-2.2999999999999998</x:v>
      </x:c>
      <x:c r="D184" s="32">
        <x:v>9.19</x:v>
      </x:c>
    </x:row>
    <x:row r="185">
      <x:c r="A185" s="14">
        <x:v>45688</x:v>
      </x:c>
      <x:c r="B185" s="32">
        <x:v>0.5</x:v>
      </x:c>
      <x:c r="C185" s="32">
        <x:v>-2.2999999999999998</x:v>
      </x:c>
      <x:c r="D185" s="32">
        <x:v>0</x:v>
      </x:c>
    </x:row>
    <x:row r="186">
      <x:c r="A186" s="14">
        <x:v>45716</x:v>
      </x:c>
      <x:c r="B186" s="32">
        <x:v>-0.7</x:v>
      </x:c>
      <x:c r="C186" s="32">
        <x:v>-2.2000000000000002</x:v>
      </x:c>
      <x:c r="D186" s="32">
        <x:v>9.9499999999999993</x:v>
      </x:c>
    </x:row>
    <x:row r="187">
      <x:c r="A187" s="14">
        <x:v>45747</x:v>
      </x:c>
      <x:c r="B187" s="32">
        <x:v>-0.1</x:v>
      </x:c>
      <x:c r="C187" s="32">
        <x:v>-2.5</x:v>
      </x:c>
      <x:c r="D187" s="32">
        <x:v>11.5</x:v>
      </x:c>
    </x:row>
    <x:row r="188">
      <x:c r="A188" s="14">
        <x:v>45777</x:v>
      </x:c>
      <x:c r="B188" s="32">
        <x:v>-0.1</x:v>
      </x:c>
      <x:c r="C188" s="32">
        <x:v>-2.7</x:v>
      </x:c>
      <x:c r="D188" s="32">
        <x:v>10.85</x:v>
      </x:c>
    </x:row>
    <x:row r="189">
      <x:c r="A189" s="14">
        <x:v>45808</x:v>
      </x:c>
      <x:c r="B189" s="32">
        <x:v>-0.1</x:v>
      </x:c>
      <x:c r="C189" s="32">
        <x:v>-3.3</x:v>
      </x:c>
      <x:c r="D189" s="32">
        <x:v>10.42</x:v>
      </x:c>
    </x:row>
    <x:row r="190">
      <x:c r="A190" s="14">
        <x:v>45838</x:v>
      </x:c>
      <x:c r="B190" s="32">
        <x:v>0.1</x:v>
      </x:c>
      <x:c r="C190" s="32">
        <x:v>-3.6</x:v>
      </x:c>
      <x:c r="D190" s="32">
        <x:v>8.9</x:v>
      </x:c>
    </x:row>
    <x:row r="191">
      <x:c r="A191" s="14">
        <x:v>45869</x:v>
      </x:c>
      <x:c r="B191" s="32">
        <x:v>0</x:v>
      </x:c>
      <x:c r="C191" s="32">
        <x:v>-3.6</x:v>
      </x:c>
      <x:c r="D191" s="32">
        <x:v>7.29</x:v>
      </x:c>
    </x:row>
    <x:row r="192">
      <x:c r="A192" s="14">
        <x:v>45900</x:v>
      </x:c>
      <x:c r="B192" s="32">
        <x:v>-0.4</x:v>
      </x:c>
      <x:c r="C192" s="32">
        <x:v>-2.9</x:v>
      </x:c>
      <x:c r="D192" s="32">
        <x:v>5.42</x:v>
      </x:c>
    </x:row>
    <x:row r="193">
      <x:c r="A193" s="14">
        <x:v>45930</x:v>
      </x:c>
      <x:c r="B193" s="32">
        <x:v>-0.3</x:v>
      </x:c>
      <x:c r="C193" s="32">
        <x:v>-2.2999999999999998</x:v>
      </x:c>
      <x:c r="D193" s="32">
        <x:v>3.34</x:v>
      </x:c>
    </x:row>
    <x:row r="194">
      <x:c r="A194" s="14">
        <x:v>45961</x:v>
      </x:c>
      <x:c r="B194" s="32">
        <x:v>0.2</x:v>
      </x:c>
      <x:c r="C194" s="32">
        <x:v>-2.1</x:v>
      </x:c>
      <x:c r="D194" s="32">
        <x:v>1.51</x:v>
      </x:c>
    </x:row>
    <x:row r="195">
      <x:c r="A195" s="14">
        <x:v>45991</x:v>
      </x:c>
      <x:c r="B195" s="32">
        <x:v>0.7</x:v>
      </x:c>
      <x:c r="C195" s="32">
        <x:v>-2.2000000000000002</x:v>
      </x:c>
      <x:c r="D195" s="32">
        <x:v>0.13</x:v>
      </x:c>
    </x:row>
    <x:row r="196">
      <x:c r="A196" s="14">
        <x:v>46022</x:v>
      </x:c>
      <x:c r="B196" s="32">
        <x:v>0.8</x:v>
      </x:c>
      <x:c r="C196" s="32">
        <x:v>-1.9</x:v>
      </x:c>
      <x:c r="D196" s="32">
        <x:v>-1.48</x:v>
      </x:c>
    </x:row>
    <x:row r="197">
      <x:c r="A197" s="14">
        <x:v>46053</x:v>
      </x:c>
      <x:c r="B197" s="32">
        <x:v>0.2</x:v>
      </x:c>
      <x:c r="C197" s="32">
        <x:v>-1.4</x:v>
      </x:c>
      <x:c r="D197" s="32">
        <x:v>0</x:v>
      </x:c>
    </x:row>
    <x:row r="198">
      <x:c r="A198" s="14">
        <x:v>46081</x:v>
      </x:c>
      <x:c r="B198" s="32">
        <x:v>1.3</x:v>
      </x:c>
      <x:c r="C198" s="32">
        <x:v>-0.9</x:v>
      </x:c>
      <x:c r="D198" s="32">
        <x:v>11.4</x:v>
      </x:c>
    </x:row>
    <x:row r="199">
      <x:c r="A199" s="14">
        <x:v>46112</x:v>
      </x:c>
      <x:c r="B199" s="32">
        <x:v>1</x:v>
      </x:c>
      <x:c r="C199" s="32">
        <x:v>0.5</x:v>
      </x:c>
      <x:c r="D199" s="32">
        <x:v>8.9</x:v>
      </x:c>
    </x:row>
    <x:row r="200">
      <x:c r="A200" s="14">
        <x:v>46142</x:v>
      </x:c>
      <x:c r="B200" s="32">
        <x:v>1.2</x:v>
      </x:c>
      <x:c r="C200" s="32">
        <x:v>2.8</x:v>
      </x:c>
      <x:c r="D200" s="32">
        <x:v>4.3</x:v>
      </x:c>
    </x:row>
    <x:row r="201">
      <x:c r="A201" s="14">
        <x:v>46173</x:v>
      </x:c>
      <x:c r="B201" s="32">
        <x:v>1.2</x:v>
      </x:c>
      <x:c r="C201" s="32">
        <x:v>3.9</x:v>
      </x:c>
      <x:c r="D201" s="32">
        <x:v>0.6</x:v>
      </x:c>
    </x:row>
    <x:row r="202">
      <x:c r="A202" s="14">
        <x:v>46203</x:v>
      </x:c>
      <x:c r="B202" s="32">
        <x:v>1</x:v>
      </x:c>
      <x:c r="C202" s="32">
        <x:v>4.0999999999999996</x:v>
      </x:c>
      <x:c r="D202" s="32">
        <x:v>-2.4</x:v>
      </x:c>
    </x:row>
    <x:row r="203">
      <x:c r="A203" s="14">
        <x:v>46234</x:v>
      </x:c>
      <x:c r="B203" s="32">
        <x:v>0.5</x:v>
      </x:c>
      <x:c r="C203" s="32">
        <x:v>3.5</x:v>
      </x:c>
      <x:c r="D203" s="32">
        <x:v>0</x:v>
      </x:c>
    </x:row>
  </x:sheetData>
  <x:pageMargins left="0.7" right="0.7" top="0.75" bottom="0.75" header="0.3" footer="0.3"/>
  <x:legacyDrawing xmlns:r="http://schemas.openxmlformats.org/officeDocument/2006/relationships" r:id="R5d66b21c5e7a4136"/>
</x:worksheet>
</file>

<file path=xl/worksheets/sheet3.xml><?xml version="1.0" encoding="utf-8"?>
<x:worksheet xmlns:x="http://schemas.openxmlformats.org/spreadsheetml/2006/main">
  <x:sheetFormatPr baseColWidth="10" defaultColWidth="9" defaultRowHeight="16"/>
  <x:cols>
    <x:col min="2" max="2" width="22.6640625" style="30" customWidth="1"/>
    <x:col min="3" max="3" width="27.1640625" style="30" customWidth="1"/>
    <x:col min="4" max="5" width="11" customWidth="1"/>
  </x:cols>
  <x:sheetData>
    <x:row r="1">
      <x:c r="A1" s="6" t="e">
        <x:f>[1]!edb()</x:f>
        <x:v>#NAME?</x:v>
      </x:c>
      <x:c r="B1" s="36"/>
      <x:c r="C1" s="36"/>
      <x:c r="D1" s="7"/>
      <x:c r="E1" s="11"/>
      <x:c r="F1" s="7"/>
    </x:row>
    <x:row r="2">
      <x:c r="A2" s="7" t="s">
        <x:v>0</x:v>
      </x:c>
      <x:c r="B2" s="36" t="s">
        <x:v>37</x:v>
      </x:c>
      <x:c r="C2" s="36" t="s">
        <x:v>38</x:v>
      </x:c>
      <x:c r="D2" s="7"/>
      <x:c r="E2" s="7"/>
      <x:c r="F2" s="7"/>
    </x:row>
    <x:row r="3">
      <x:c r="A3" s="7" t="s">
        <x:v>14</x:v>
      </x:c>
      <x:c r="B3" s="36" t="s">
        <x:v>15</x:v>
      </x:c>
      <x:c r="C3" s="36" t="s">
        <x:v>16</x:v>
      </x:c>
      <x:c r="D3" s="7"/>
      <x:c r="E3" s="7"/>
      <x:c r="F3" s="7"/>
    </x:row>
    <x:row r="4">
      <x:c r="A4" s="8" t="s">
        <x:v>17</x:v>
      </x:c>
      <x:c r="B4" s="37" t="s">
        <x:v>39</x:v>
      </x:c>
      <x:c r="C4" s="37" t="s">
        <x:v>40</x:v>
      </x:c>
      <x:c r="D4" s="8"/>
      <x:c r="E4" s="8"/>
      <x:c r="F4" s="8"/>
    </x:row>
    <x:row r="5">
      <x:c r="A5" s="9">
        <x:v>40268</x:v>
      </x:c>
      <x:c r="B5" s="38">
        <x:v>89125</x:v>
      </x:c>
      <x:c r="C5" s="38">
        <x:v>12.2</x:v>
      </x:c>
      <x:c r="D5" s="10"/>
      <x:c r="E5" s="10"/>
      <x:c r="F5" s="10"/>
    </x:row>
    <x:row r="6">
      <x:c r="A6" s="9">
        <x:v>40359</x:v>
      </x:c>
      <x:c r="B6" s="38">
        <x:v>101075</x:v>
      </x:c>
      <x:c r="C6" s="38">
        <x:v>10.7</x:v>
      </x:c>
      <x:c r="D6" s="10"/>
      <x:c r="E6" s="10"/>
      <x:c r="F6" s="10"/>
    </x:row>
    <x:row r="7">
      <x:c r="A7" s="9">
        <x:v>40451</x:v>
      </x:c>
      <x:c r="B7" s="38">
        <x:v>107792.9</x:v>
      </x:c>
      <x:c r="C7" s="38">
        <x:v>9.9</x:v>
      </x:c>
      <x:c r="D7" s="10"/>
      <x:c r="E7" s="10"/>
      <x:c r="F7" s="10"/>
    </x:row>
    <x:row r="8">
      <x:c r="A8" s="9">
        <x:v>40543</x:v>
      </x:c>
      <x:c r="B8" s="38">
        <x:v>121260.4</x:v>
      </x:c>
      <x:c r="C8" s="38">
        <x:v>9.9</x:v>
      </x:c>
      <x:c r="D8" s="10"/>
      <x:c r="E8" s="10"/>
      <x:c r="F8" s="10"/>
    </x:row>
    <x:row r="9">
      <x:c r="A9" s="9">
        <x:v>40633</x:v>
      </x:c>
      <x:c r="B9" s="38">
        <x:v>106218.9</x:v>
      </x:c>
      <x:c r="C9" s="38">
        <x:v>10.1</x:v>
      </x:c>
      <x:c r="D9" s="10"/>
      <x:c r="E9" s="10"/>
      <x:c r="F9" s="10"/>
    </x:row>
    <x:row r="10">
      <x:c r="A10" s="9">
        <x:v>40724</x:v>
      </x:c>
      <x:c r="B10" s="38">
        <x:v>120776.8</x:v>
      </x:c>
      <x:c r="C10" s="38">
        <x:v>9.9</x:v>
      </x:c>
      <x:c r="D10" s="10"/>
      <x:c r="E10" s="10"/>
      <x:c r="F10" s="10"/>
    </x:row>
    <x:row r="11">
      <x:c r="A11" s="9">
        <x:v>40816</x:v>
      </x:c>
      <x:c r="B11" s="38">
        <x:v>128561.5</x:v>
      </x:c>
      <x:c r="C11" s="38">
        <x:v>9.3000000000000007</x:v>
      </x:c>
      <x:c r="D11" s="10"/>
      <x:c r="E11" s="10"/>
      <x:c r="F11" s="10"/>
    </x:row>
    <x:row r="12">
      <x:c r="A12" s="9">
        <x:v>40908</x:v>
      </x:c>
      <x:c r="B12" s="38">
        <x:v>140150.29999999999</x:v>
      </x:c>
      <x:c r="C12" s="38">
        <x:v>8.6999999999999993</x:v>
      </x:c>
      <x:c r="D12" s="10"/>
      <x:c r="E12" s="10"/>
      <x:c r="F12" s="10"/>
    </x:row>
    <x:row r="13">
      <x:c r="A13" s="9">
        <x:v>40999</x:v>
      </x:c>
      <x:c r="B13" s="38">
        <x:v>119377.5</x:v>
      </x:c>
      <x:c r="C13" s="38">
        <x:v>8.1</x:v>
      </x:c>
      <x:c r="D13" s="10"/>
      <x:c r="E13" s="10"/>
      <x:c r="F13" s="10"/>
    </x:row>
    <x:row r="14">
      <x:c r="A14" s="9">
        <x:v>41090</x:v>
      </x:c>
      <x:c r="B14" s="38">
        <x:v>133491.20000000001</x:v>
      </x:c>
      <x:c r="C14" s="38">
        <x:v>7.7</x:v>
      </x:c>
      <x:c r="D14" s="10"/>
      <x:c r="E14" s="10"/>
      <x:c r="F14" s="10"/>
    </x:row>
    <x:row r="15">
      <x:c r="A15" s="9">
        <x:v>41182</x:v>
      </x:c>
      <x:c r="B15" s="38">
        <x:v>140384</x:v>
      </x:c>
      <x:c r="C15" s="38">
        <x:v>7.5</x:v>
      </x:c>
      <x:c r="D15" s="10"/>
      <x:c r="E15" s="10"/>
      <x:c r="F15" s="10"/>
    </x:row>
    <x:row r="16">
      <x:c r="A16" s="9">
        <x:v>41274</x:v>
      </x:c>
      <x:c r="B16" s="38">
        <x:v>154258</x:v>
      </x:c>
      <x:c r="C16" s="38">
        <x:v>8.1</x:v>
      </x:c>
      <x:c r="D16" s="10"/>
      <x:c r="E16" s="10"/>
      <x:c r="F16" s="10"/>
    </x:row>
    <x:row r="17">
      <x:c r="A17" s="9">
        <x:v>41364</x:v>
      </x:c>
      <x:c r="B17" s="38">
        <x:v>131879.70000000001</x:v>
      </x:c>
      <x:c r="C17" s="38">
        <x:v>7.9</x:v>
      </x:c>
      <x:c r="D17" s="10"/>
      <x:c r="E17" s="10"/>
      <x:c r="F17" s="10"/>
    </x:row>
    <x:row r="18">
      <x:c r="A18" s="9">
        <x:v>41455</x:v>
      </x:c>
      <x:c r="B18" s="38">
        <x:v>146113.9</x:v>
      </x:c>
      <x:c r="C18" s="38">
        <x:v>7.6</x:v>
      </x:c>
      <x:c r="D18" s="10"/>
      <x:c r="E18" s="10"/>
      <x:c r="F18" s="10"/>
    </x:row>
    <x:row r="19">
      <x:c r="A19" s="9">
        <x:v>41547</x:v>
      </x:c>
      <x:c r="B19" s="38">
        <x:v>154972.1</x:v>
      </x:c>
      <x:c r="C19" s="38">
        <x:v>7.9</x:v>
      </x:c>
      <x:c r="D19" s="10"/>
      <x:c r="E19" s="10"/>
      <x:c r="F19" s="10"/>
    </x:row>
    <x:row r="20">
      <x:c r="A20" s="9">
        <x:v>41639</x:v>
      </x:c>
      <x:c r="B20" s="38">
        <x:v>170694.7</x:v>
      </x:c>
      <x:c r="C20" s="38">
        <x:v>7.7</x:v>
      </x:c>
      <x:c r="D20" s="10"/>
      <x:c r="E20" s="10"/>
      <x:c r="F20" s="10"/>
    </x:row>
    <x:row r="21">
      <x:c r="A21" s="9">
        <x:v>41729</x:v>
      </x:c>
      <x:c r="B21" s="38">
        <x:v>143539.4</x:v>
      </x:c>
      <x:c r="C21" s="38">
        <x:v>7.6</x:v>
      </x:c>
      <x:c r="D21" s="10"/>
      <x:c r="E21" s="10"/>
      <x:c r="F21" s="10"/>
    </x:row>
    <x:row r="22">
      <x:c r="A22" s="9">
        <x:v>41820</x:v>
      </x:c>
      <x:c r="B22" s="38">
        <x:v>159462.39999999999</x:v>
      </x:c>
      <x:c r="C22" s="38">
        <x:v>7.7</x:v>
      </x:c>
      <x:c r="D22" s="10"/>
      <x:c r="E22" s="10"/>
      <x:c r="F22" s="10"/>
    </x:row>
    <x:row r="23">
      <x:c r="A23" s="9">
        <x:v>41912</x:v>
      </x:c>
      <x:c r="B23" s="38">
        <x:v>168601.7</x:v>
      </x:c>
      <x:c r="C23" s="38">
        <x:v>7.3</x:v>
      </x:c>
      <x:c r="D23" s="10"/>
      <x:c r="E23" s="10"/>
      <x:c r="F23" s="10"/>
    </x:row>
    <x:row r="24">
      <x:c r="A24" s="9">
        <x:v>42004</x:v>
      </x:c>
      <x:c r="B24" s="38">
        <x:v>184179.4</x:v>
      </x:c>
      <x:c r="C24" s="38">
        <x:v>7.4</x:v>
      </x:c>
      <x:c r="D24" s="10"/>
      <x:c r="E24" s="10"/>
      <x:c r="F24" s="10"/>
    </x:row>
    <x:row r="25">
      <x:c r="A25" s="9">
        <x:v>42094</x:v>
      </x:c>
      <x:c r="B25" s="38">
        <x:v>154171.4</x:v>
      </x:c>
      <x:c r="C25" s="38">
        <x:v>7.1</x:v>
      </x:c>
      <x:c r="D25" s="10"/>
      <x:c r="E25" s="10"/>
      <x:c r="F25" s="10"/>
    </x:row>
    <x:row r="26">
      <x:c r="A26" s="9">
        <x:v>42185</x:v>
      </x:c>
      <x:c r="B26" s="38">
        <x:v>171887</x:v>
      </x:c>
      <x:c r="C26" s="38">
        <x:v>7.1</x:v>
      </x:c>
      <x:c r="D26" s="10"/>
      <x:c r="E26" s="10"/>
      <x:c r="F26" s="10"/>
    </x:row>
    <x:row r="27">
      <x:c r="A27" s="9">
        <x:v>42277</x:v>
      </x:c>
      <x:c r="B27" s="38">
        <x:v>180118.7</x:v>
      </x:c>
      <x:c r="C27" s="38">
        <x:v>7</x:v>
      </x:c>
      <x:c r="D27" s="10"/>
      <x:c r="E27" s="10"/>
      <x:c r="F27" s="10"/>
    </x:row>
    <x:row r="28">
      <x:c r="A28" s="9">
        <x:v>42369</x:v>
      </x:c>
      <x:c r="B28" s="38">
        <x:v>196334.4</x:v>
      </x:c>
      <x:c r="C28" s="38">
        <x:v>6.9</x:v>
      </x:c>
      <x:c r="D28" s="10"/>
      <x:c r="E28" s="10"/>
      <x:c r="F28" s="10"/>
    </x:row>
    <x:row r="29">
      <x:c r="A29" s="9">
        <x:v>42460</x:v>
      </x:c>
      <x:c r="B29" s="38">
        <x:v>165735.29999999999</x:v>
      </x:c>
      <x:c r="C29" s="38">
        <x:v>6.8</x:v>
      </x:c>
      <x:c r="D29" s="10"/>
      <x:c r="E29" s="10"/>
      <x:c r="F29" s="10"/>
    </x:row>
    <x:row r="30">
      <x:c r="A30" s="9">
        <x:v>42551</x:v>
      </x:c>
      <x:c r="B30" s="38">
        <x:v>185002.2</x:v>
      </x:c>
      <x:c r="C30" s="38">
        <x:v>6.7</x:v>
      </x:c>
      <x:c r="D30" s="10"/>
      <x:c r="E30" s="10"/>
      <x:c r="F30" s="10"/>
    </x:row>
    <x:row r="31">
      <x:c r="A31" s="9">
        <x:v>42643</x:v>
      </x:c>
      <x:c r="B31" s="38">
        <x:v>194837.5</x:v>
      </x:c>
      <x:c r="C31" s="38">
        <x:v>6.7</x:v>
      </x:c>
      <x:c r="D31" s="10"/>
      <x:c r="E31" s="10"/>
      <x:c r="F31" s="10"/>
    </x:row>
    <x:row r="32">
      <x:c r="A32" s="9">
        <x:v>42735</x:v>
      </x:c>
      <x:c r="B32" s="38">
        <x:v>215617.9</x:v>
      </x:c>
      <x:c r="C32" s="38">
        <x:v>6.8</x:v>
      </x:c>
      <x:c r="D32" s="10"/>
      <x:c r="E32" s="10"/>
      <x:c r="F32" s="10"/>
    </x:row>
    <x:row r="33">
      <x:c r="A33" s="9">
        <x:v>42825</x:v>
      </x:c>
      <x:c r="B33" s="38">
        <x:v>185274.4</x:v>
      </x:c>
      <x:c r="C33" s="38">
        <x:v>7</x:v>
      </x:c>
      <x:c r="D33" s="10"/>
      <x:c r="E33" s="10"/>
      <x:c r="F33" s="10"/>
    </x:row>
    <x:row r="34">
      <x:c r="A34" s="9">
        <x:v>42916</x:v>
      </x:c>
      <x:c r="B34" s="38">
        <x:v>205665.6</x:v>
      </x:c>
      <x:c r="C34" s="38">
        <x:v>7</x:v>
      </x:c>
      <x:c r="D34" s="10"/>
      <x:c r="E34" s="10"/>
      <x:c r="F34" s="10"/>
    </x:row>
    <x:row r="35">
      <x:c r="A35" s="9">
        <x:v>43008</x:v>
      </x:c>
      <x:c r="B35" s="38">
        <x:v>216755.3</x:v>
      </x:c>
      <x:c r="C35" s="38">
        <x:v>6.9</x:v>
      </x:c>
      <x:c r="D35" s="10"/>
      <x:c r="E35" s="10"/>
      <x:c r="F35" s="10"/>
    </x:row>
    <x:row r="36">
      <x:c r="A36" s="9">
        <x:v>43100</x:v>
      </x:c>
      <x:c r="B36" s="38">
        <x:v>239687.6</x:v>
      </x:c>
      <x:c r="C36" s="38">
        <x:v>6.8</x:v>
      </x:c>
      <x:c r="D36" s="10"/>
      <x:c r="E36" s="10"/>
      <x:c r="F36" s="10"/>
    </x:row>
    <x:row r="37">
      <x:c r="A37" s="9">
        <x:v>43190</x:v>
      </x:c>
      <x:c r="B37" s="38">
        <x:v>205735.3</x:v>
      </x:c>
      <x:c r="C37" s="38">
        <x:v>6.9</x:v>
      </x:c>
      <x:c r="D37" s="10"/>
      <x:c r="E37" s="10"/>
      <x:c r="F37" s="10"/>
    </x:row>
    <x:row r="38">
      <x:c r="A38" s="9">
        <x:v>43281</x:v>
      </x:c>
      <x:c r="B38" s="38">
        <x:v>228042.4</x:v>
      </x:c>
      <x:c r="C38" s="38">
        <x:v>6.9</x:v>
      </x:c>
      <x:c r="D38" s="10"/>
      <x:c r="E38" s="10"/>
      <x:c r="F38" s="10"/>
    </x:row>
    <x:row r="39">
      <x:c r="A39" s="9">
        <x:v>43373</x:v>
      </x:c>
      <x:c r="B39" s="38">
        <x:v>238796.79999999999</x:v>
      </x:c>
      <x:c r="C39" s="38">
        <x:v>6.7</x:v>
      </x:c>
      <x:c r="D39" s="10"/>
      <x:c r="E39" s="10"/>
      <x:c r="F39" s="10"/>
    </x:row>
    <x:row r="40">
      <x:c r="A40" s="9">
        <x:v>43465</x:v>
      </x:c>
      <x:c r="B40" s="38">
        <x:v>263435.59999999998</x:v>
      </x:c>
      <x:c r="C40" s="38">
        <x:v>6.5</x:v>
      </x:c>
      <x:c r="D40" s="10"/>
      <x:c r="E40" s="10"/>
      <x:c r="F40" s="10"/>
    </x:row>
    <x:row r="41">
      <x:c r="A41" s="9">
        <x:v>43555</x:v>
      </x:c>
      <x:c r="B41" s="38">
        <x:v>221453.9</x:v>
      </x:c>
      <x:c r="C41" s="38">
        <x:v>6.4</x:v>
      </x:c>
      <x:c r="D41" s="10"/>
      <x:c r="E41" s="10"/>
      <x:c r="F41" s="10"/>
    </x:row>
    <x:row r="42">
      <x:c r="A42" s="9">
        <x:v>43646</x:v>
      </x:c>
      <x:c r="B42" s="38">
        <x:v>246193.9</x:v>
      </x:c>
      <x:c r="C42" s="38">
        <x:v>6.1</x:v>
      </x:c>
      <x:c r="D42" s="10"/>
      <x:c r="E42" s="10"/>
      <x:c r="F42" s="10"/>
    </x:row>
    <x:row r="43">
      <x:c r="A43" s="9">
        <x:v>43738</x:v>
      </x:c>
      <x:c r="B43" s="38">
        <x:v>256023.2</x:v>
      </x:c>
      <x:c r="C43" s="38">
        <x:v>6</x:v>
      </x:c>
      <x:c r="D43" s="10"/>
      <x:c r="E43" s="10"/>
      <x:c r="F43" s="10"/>
    </x:row>
    <x:row r="44">
      <x:c r="A44" s="9">
        <x:v>43830</x:v>
      </x:c>
      <x:c r="B44" s="38">
        <x:v>282201.40000000002</x:v>
      </x:c>
      <x:c r="C44" s="38">
        <x:v>5.9</x:v>
      </x:c>
      <x:c r="D44" s="10"/>
      <x:c r="E44" s="10"/>
      <x:c r="F44" s="10"/>
    </x:row>
    <x:row r="45">
      <x:c r="A45" s="9">
        <x:v>43921</x:v>
      </x:c>
      <x:c r="B45" s="38">
        <x:v>209671.1</x:v>
      </x:c>
      <x:c r="C45" s="38">
        <x:v>-6.8</x:v>
      </x:c>
      <x:c r="D45" s="10"/>
      <x:c r="E45" s="10"/>
      <x:c r="F45" s="10"/>
    </x:row>
    <x:row r="46">
      <x:c r="A46" s="9">
        <x:v>44012</x:v>
      </x:c>
      <x:c r="B46" s="38">
        <x:v>253450</x:v>
      </x:c>
      <x:c r="C46" s="38">
        <x:v>3.2</x:v>
      </x:c>
      <x:c r="D46" s="10"/>
      <x:c r="E46" s="10"/>
      <x:c r="F46" s="10"/>
    </x:row>
    <x:row r="47">
      <x:c r="A47" s="9">
        <x:v>44104</x:v>
      </x:c>
      <x:c r="B47" s="38">
        <x:v>269910.2</x:v>
      </x:c>
      <x:c r="C47" s="38">
        <x:v>4.9000000000000004</x:v>
      </x:c>
      <x:c r="D47" s="10"/>
      <x:c r="E47" s="10"/>
      <x:c r="F47" s="10"/>
    </x:row>
    <x:row r="48">
      <x:c r="A48" s="9">
        <x:v>44196</x:v>
      </x:c>
      <x:c r="B48" s="38">
        <x:v>301836.2</x:v>
      </x:c>
      <x:c r="C48" s="38">
        <x:v>6.5</x:v>
      </x:c>
      <x:c r="D48" s="10"/>
      <x:c r="E48" s="10"/>
      <x:c r="F48" s="10"/>
    </x:row>
    <x:row r="49">
      <x:c r="A49" s="9">
        <x:v>44286</x:v>
      </x:c>
      <x:c r="B49" s="38">
        <x:v>255055.2</x:v>
      </x:c>
      <x:c r="C49" s="38">
        <x:v>18.899999999999999</x:v>
      </x:c>
      <x:c r="D49" s="10"/>
      <x:c r="E49" s="10"/>
      <x:c r="F49" s="10"/>
    </x:row>
    <x:row r="50">
      <x:c r="A50" s="9">
        <x:v>44377</x:v>
      </x:c>
      <x:c r="B50" s="38">
        <x:v>287979.2</x:v>
      </x:c>
      <x:c r="C50" s="38">
        <x:v>8.1</x:v>
      </x:c>
      <x:c r="D50" s="10"/>
      <x:c r="E50" s="10"/>
      <x:c r="F50" s="10"/>
    </x:row>
    <x:row r="51">
      <x:c r="A51" s="9">
        <x:v>44469</x:v>
      </x:c>
      <x:c r="B51" s="38">
        <x:v>297961.90000000002</x:v>
      </x:c>
      <x:c r="C51" s="38">
        <x:v>5.5</x:v>
      </x:c>
      <x:c r="D51" s="10"/>
      <x:c r="E51" s="10"/>
      <x:c r="F51" s="10"/>
    </x:row>
    <x:row r="52">
      <x:c r="A52" s="9">
        <x:v>44561</x:v>
      </x:c>
      <x:c r="B52" s="38">
        <x:v>332826.7</x:v>
      </x:c>
      <x:c r="C52" s="38">
        <x:v>4.5</x:v>
      </x:c>
      <x:c r="D52" s="10"/>
      <x:c r="E52" s="10"/>
      <x:c r="F52" s="10"/>
    </x:row>
    <x:row r="53">
      <x:c r="A53" s="9">
        <x:v>44651</x:v>
      </x:c>
      <x:c r="B53" s="38">
        <x:v>277175.8</x:v>
      </x:c>
      <x:c r="C53" s="38">
        <x:v>4.8</x:v>
      </x:c>
      <x:c r="D53" s="10"/>
      <x:c r="E53" s="10"/>
      <x:c r="F53" s="10"/>
    </x:row>
    <x:row r="54">
      <x:c r="A54" s="9">
        <x:v>44742</x:v>
      </x:c>
      <x:c r="B54" s="38">
        <x:v>299111.5</x:v>
      </x:c>
      <x:c r="C54" s="38">
        <x:v>0.8</x:v>
      </x:c>
      <x:c r="D54" s="10"/>
      <x:c r="E54" s="10"/>
      <x:c r="F54" s="10"/>
    </x:row>
    <x:row r="55">
      <x:c r="A55" s="9">
        <x:v>44834</x:v>
      </x:c>
      <x:c r="B55" s="38">
        <x:v>315399.59999999998</x:v>
      </x:c>
      <x:c r="C55" s="38">
        <x:v>4</x:v>
      </x:c>
      <x:c r="D55" s="10"/>
      <x:c r="E55" s="10"/>
      <x:c r="F55" s="10"/>
    </x:row>
    <x:row r="56">
      <x:c r="A56" s="9">
        <x:v>44926</x:v>
      </x:c>
      <x:c r="B56" s="38">
        <x:v>342342.40000000002</x:v>
      </x:c>
      <x:c r="C56" s="38">
        <x:v>3</x:v>
      </x:c>
      <x:c r="D56" s="10"/>
      <x:c r="E56" s="10"/>
      <x:c r="F56" s="10"/>
    </x:row>
    <x:row r="57">
      <x:c r="A57" s="9">
        <x:v>45016</x:v>
      </x:c>
      <x:c r="B57" s="38">
        <x:v>292368.8</x:v>
      </x:c>
      <x:c r="C57" s="38">
        <x:v>4.7</x:v>
      </x:c>
      <x:c r="D57" s="10"/>
      <x:c r="E57" s="10"/>
      <x:c r="F57" s="10"/>
    </x:row>
    <x:row r="58">
      <x:c r="A58" s="9">
        <x:v>45107</x:v>
      </x:c>
      <x:c r="B58" s="38">
        <x:v>316237.5</x:v>
      </x:c>
      <x:c r="C58" s="38">
        <x:v>6.5</x:v>
      </x:c>
      <x:c r="D58" s="10"/>
      <x:c r="E58" s="10"/>
      <x:c r="F58" s="10"/>
    </x:row>
    <x:row r="59">
      <x:c r="A59" s="9">
        <x:v>45199</x:v>
      </x:c>
      <x:c r="B59" s="38">
        <x:v>328440.7</x:v>
      </x:c>
      <x:c r="C59" s="38">
        <x:v>5</x:v>
      </x:c>
      <x:c r="D59" s="10"/>
      <x:c r="E59" s="10"/>
      <x:c r="F59" s="10"/>
    </x:row>
    <x:row r="60">
      <x:c r="A60" s="9">
        <x:v>45291</x:v>
      </x:c>
      <x:c r="B60" s="38">
        <x:v>357224.8</x:v>
      </x:c>
      <x:c r="C60" s="38">
        <x:v>5.3</x:v>
      </x:c>
      <x:c r="D60" s="10"/>
      <x:c r="E60" s="10"/>
      <x:c r="F60" s="10"/>
    </x:row>
    <x:row r="61">
      <x:c r="A61" s="9">
        <x:v>45382</x:v>
      </x:c>
      <x:c r="B61" s="38">
        <x:v>304525.2</x:v>
      </x:c>
      <x:c r="C61" s="38">
        <x:v>5.3</x:v>
      </x:c>
      <x:c r="D61" s="10"/>
      <x:c r="E61" s="10"/>
      <x:c r="F61" s="10"/>
    </x:row>
    <x:row r="62">
      <x:c r="A62" s="9">
        <x:v>45473</x:v>
      </x:c>
      <x:c r="B62" s="38">
        <x:v>328585.40000000002</x:v>
      </x:c>
      <x:c r="C62" s="38">
        <x:v>4.7</x:v>
      </x:c>
      <x:c r="D62" s="10"/>
      <x:c r="E62" s="10"/>
      <x:c r="F62" s="10"/>
    </x:row>
    <x:row r="63">
      <x:c r="A63" s="9">
        <x:v>45565</x:v>
      </x:c>
      <x:c r="B63" s="38">
        <x:v>341443.2</x:v>
      </x:c>
      <x:c r="C63" s="38">
        <x:v>4.5999999999999996</x:v>
      </x:c>
      <x:c r="D63" s="10"/>
      <x:c r="E63" s="10"/>
      <x:c r="F63" s="10"/>
    </x:row>
    <x:row r="64">
      <x:c r="A64" s="9">
        <x:v>45657</x:v>
      </x:c>
      <x:c r="B64" s="38">
        <x:v>373512.4</x:v>
      </x:c>
      <x:c r="C64" s="38">
        <x:v>5.4</x:v>
      </x:c>
      <x:c r="D64" s="10"/>
      <x:c r="E64" s="10"/>
      <x:c r="F64" s="10"/>
    </x:row>
    <x:row r="65">
      <x:c r="A65" s="9">
        <x:v>45747</x:v>
      </x:c>
      <x:c r="B65" s="38">
        <x:v>318466.40000000002</x:v>
      </x:c>
      <x:c r="C65" s="38">
        <x:v>5.4</x:v>
      </x:c>
      <x:c r="D65" s="10"/>
      <x:c r="E65" s="10"/>
      <x:c r="F65" s="10"/>
    </x:row>
    <x:row r="66">
      <x:c r="A66" s="9">
        <x:v>45838</x:v>
      </x:c>
      <x:c r="B66" s="38">
        <x:v>341395.3</x:v>
      </x:c>
      <x:c r="C66" s="38">
        <x:v>5.2</x:v>
      </x:c>
      <x:c r="D66" s="10"/>
      <x:c r="E66" s="10"/>
      <x:c r="F66" s="10"/>
    </x:row>
    <x:row r="67">
      <x:c r="A67" s="9">
        <x:v>45930</x:v>
      </x:c>
      <x:c r="B67" s="38">
        <x:v>354106.2</x:v>
      </x:c>
      <x:c r="C67" s="38">
        <x:v>4.8</x:v>
      </x:c>
      <x:c r="D67" s="10"/>
      <x:c r="E67" s="10"/>
      <x:c r="F67" s="10"/>
    </x:row>
    <x:row r="68">
      <x:c r="A68" s="9">
        <x:v>46022</x:v>
      </x:c>
      <x:c r="B68" s="38">
        <x:v>387911.3</x:v>
      </x:c>
      <x:c r="C68" s="38">
        <x:v>4.5</x:v>
      </x:c>
      <x:c r="D68" s="10"/>
      <x:c r="E68" s="10"/>
      <x:c r="F68" s="10"/>
    </x:row>
    <x:row r="69">
      <x:c r="A69" s="9">
        <x:v>46112</x:v>
      </x:c>
      <x:c r="B69" s="38">
        <x:v>334192.90000000002</x:v>
      </x:c>
      <x:c r="C69" s="38">
        <x:v>5</x:v>
      </x:c>
      <x:c r="D69" s="10"/>
      <x:c r="E69" s="10"/>
      <x:c r="F69" s="10"/>
    </x:row>
    <x:row r="70">
      <x:c r="A70" s="9">
        <x:v>46203</x:v>
      </x:c>
      <x:c r="B70" s="38">
        <x:v>361511.1</x:v>
      </x:c>
      <x:c r="C70" s="38">
        <x:v>4.3</x:v>
      </x:c>
      <x:c r="D70" s="10"/>
      <x:c r="E70" s="10"/>
      <x:c r="F70" s="10"/>
    </x:row>
    <x:row r="71">
      <x:c r="A71" s="9"/>
      <x:c r="B71" s="38"/>
      <x:c r="C71" s="38"/>
      <x:c r="D71" s="10"/>
      <x:c r="E71" s="10"/>
      <x:c r="F71" s="10"/>
    </x:row>
    <x:row r="72">
      <x:c r="A72" s="9"/>
      <x:c r="B72" s="38"/>
      <x:c r="C72" s="38"/>
      <x:c r="D72" s="10"/>
      <x:c r="E72" s="10"/>
      <x:c r="F72" s="10"/>
    </x:row>
    <x:row r="73">
      <x:c r="A73" s="9"/>
      <x:c r="B73" s="38"/>
      <x:c r="C73" s="38"/>
      <x:c r="D73" s="10"/>
      <x:c r="E73" s="10"/>
      <x:c r="F73" s="10"/>
    </x:row>
    <x:row r="74">
      <x:c r="A74" s="9"/>
      <x:c r="B74" s="38"/>
      <x:c r="C74" s="38"/>
      <x:c r="D74" s="10"/>
      <x:c r="E74" s="10"/>
      <x:c r="F74" s="10"/>
    </x:row>
    <x:row r="75">
      <x:c r="A75" s="9"/>
      <x:c r="B75" s="38"/>
      <x:c r="C75" s="38"/>
      <x:c r="D75" s="10"/>
      <x:c r="E75" s="10"/>
      <x:c r="F75" s="10"/>
    </x:row>
    <x:row r="76">
      <x:c r="A76" s="9"/>
      <x:c r="B76" s="38"/>
      <x:c r="C76" s="38"/>
      <x:c r="D76" s="10"/>
      <x:c r="E76" s="10"/>
      <x:c r="F76" s="10"/>
    </x:row>
    <x:row r="77">
      <x:c r="A77" s="9"/>
      <x:c r="B77" s="38"/>
      <x:c r="C77" s="38"/>
      <x:c r="D77" s="10"/>
      <x:c r="E77" s="10"/>
      <x:c r="F77" s="10"/>
    </x:row>
    <x:row r="78">
      <x:c r="A78" s="9"/>
      <x:c r="B78" s="38"/>
      <x:c r="C78" s="38"/>
      <x:c r="D78" s="10"/>
      <x:c r="E78" s="10"/>
      <x:c r="F78" s="10"/>
    </x:row>
    <x:row r="79">
      <x:c r="A79" s="9"/>
      <x:c r="B79" s="38"/>
      <x:c r="C79" s="38"/>
      <x:c r="D79" s="10"/>
      <x:c r="E79" s="10"/>
      <x:c r="F79" s="10"/>
    </x:row>
    <x:row r="80">
      <x:c r="A80" s="9"/>
      <x:c r="B80" s="38"/>
      <x:c r="C80" s="38"/>
      <x:c r="D80" s="10"/>
      <x:c r="E80" s="10"/>
      <x:c r="F80" s="10"/>
    </x:row>
    <x:row r="81">
      <x:c r="A81" s="9"/>
      <x:c r="B81" s="38"/>
      <x:c r="C81" s="38"/>
      <x:c r="D81" s="10"/>
      <x:c r="E81" s="10"/>
      <x:c r="F81" s="10"/>
    </x:row>
    <x:row r="82">
      <x:c r="A82" s="9"/>
      <x:c r="B82" s="38"/>
      <x:c r="C82" s="38"/>
      <x:c r="D82" s="10"/>
      <x:c r="E82" s="10"/>
      <x:c r="F82" s="10"/>
    </x:row>
    <x:row r="83">
      <x:c r="A83" s="9"/>
      <x:c r="B83" s="38"/>
      <x:c r="C83" s="38"/>
      <x:c r="D83" s="10"/>
      <x:c r="E83" s="10"/>
      <x:c r="F83" s="10"/>
    </x:row>
    <x:row r="84">
      <x:c r="A84" s="9"/>
      <x:c r="B84" s="38"/>
      <x:c r="C84" s="38"/>
      <x:c r="D84" s="10"/>
      <x:c r="E84" s="10"/>
      <x:c r="F84" s="10"/>
    </x:row>
    <x:row r="85">
      <x:c r="A85" s="9"/>
      <x:c r="B85" s="38"/>
      <x:c r="C85" s="38"/>
      <x:c r="D85" s="10"/>
      <x:c r="E85" s="10"/>
      <x:c r="F85" s="10"/>
    </x:row>
    <x:row r="86">
      <x:c r="A86" s="9"/>
      <x:c r="B86" s="38"/>
      <x:c r="C86" s="38"/>
      <x:c r="D86" s="10"/>
      <x:c r="E86" s="10"/>
      <x:c r="F86" s="10"/>
    </x:row>
    <x:row r="87">
      <x:c r="A87" s="9"/>
      <x:c r="B87" s="38"/>
      <x:c r="C87" s="38"/>
      <x:c r="D87" s="10"/>
      <x:c r="E87" s="10"/>
      <x:c r="F87" s="10"/>
    </x:row>
    <x:row r="88">
      <x:c r="A88" s="9"/>
      <x:c r="B88" s="38"/>
      <x:c r="C88" s="38"/>
      <x:c r="D88" s="10"/>
      <x:c r="E88" s="10"/>
      <x:c r="F88" s="10"/>
    </x:row>
    <x:row r="89">
      <x:c r="A89" s="9"/>
      <x:c r="B89" s="38"/>
      <x:c r="C89" s="38"/>
      <x:c r="D89" s="10"/>
      <x:c r="E89" s="10"/>
      <x:c r="F89" s="10"/>
    </x:row>
    <x:row r="90">
      <x:c r="A90" s="9"/>
      <x:c r="B90" s="38"/>
      <x:c r="C90" s="38"/>
      <x:c r="D90" s="10"/>
      <x:c r="E90" s="10"/>
      <x:c r="F90" s="10"/>
    </x:row>
    <x:row r="91">
      <x:c r="A91" s="9"/>
      <x:c r="B91" s="38"/>
      <x:c r="C91" s="38"/>
      <x:c r="D91" s="10"/>
      <x:c r="E91" s="10"/>
      <x:c r="F91" s="10"/>
    </x:row>
    <x:row r="92">
      <x:c r="A92" s="9"/>
      <x:c r="B92" s="38"/>
      <x:c r="C92" s="38"/>
      <x:c r="D92" s="10"/>
      <x:c r="E92" s="10"/>
      <x:c r="F92" s="10"/>
    </x:row>
    <x:row r="93">
      <x:c r="A93" s="9"/>
      <x:c r="B93" s="38"/>
      <x:c r="C93" s="38"/>
      <x:c r="D93" s="10"/>
      <x:c r="E93" s="10"/>
      <x:c r="F93" s="10"/>
    </x:row>
    <x:row r="94">
      <x:c r="A94" s="9"/>
      <x:c r="B94" s="38"/>
      <x:c r="C94" s="38"/>
      <x:c r="D94" s="10"/>
      <x:c r="E94" s="10"/>
      <x:c r="F94" s="10"/>
    </x:row>
    <x:row r="95">
      <x:c r="A95" s="9"/>
      <x:c r="B95" s="38"/>
      <x:c r="C95" s="38"/>
      <x:c r="D95" s="10"/>
      <x:c r="E95" s="10"/>
      <x:c r="F95" s="10"/>
    </x:row>
  </x:sheetData>
  <x:pageMargins left="0.7" right="0.7" top="0.75" bottom="0.75" header="0.3" footer="0.3"/>
  <x:legacyDrawing xmlns:r="http://schemas.openxmlformats.org/officeDocument/2006/relationships" r:id="R7ec766d2486548d4"/>
</x:worksheet>
</file>

<file path=xl/worksheets/sheet4.xml><?xml version="1.0" encoding="utf-8"?>
<x:worksheet xmlns:x="http://schemas.openxmlformats.org/spreadsheetml/2006/main">
  <x:sheetFormatPr baseColWidth="10" defaultColWidth="9" defaultRowHeight="16"/>
  <x:cols>
    <x:col min="2" max="2" width="36" customWidth="1"/>
    <x:col min="3" max="3" width="42.6640625" customWidth="1"/>
    <x:col min="4" max="5" width="63.83203125" customWidth="1"/>
    <x:col min="6" max="6" width="63.83203125" customWidth="1"/>
    <x:col min="7" max="7" width="56.6640625" customWidth="1"/>
  </x:cols>
  <x:sheetData>
    <x:row r="1">
      <x:c r="A1" s="3" t="e">
        <x:f>[1]!edb()</x:f>
        <x:v>#NAME?</x:v>
      </x:c>
    </x:row>
    <x:row r="2">
      <x:c r="A2" t="s">
        <x:v>0</x:v>
      </x:c>
      <x:c r="B2" t="s">
        <x:v>41</x:v>
      </x:c>
      <x:c r="C2" t="s">
        <x:v>42</x:v>
      </x:c>
      <x:c r="D2" t="s">
        <x:v>43</x:v>
      </x:c>
      <x:c r="E2" t="s">
        <x:v>44</x:v>
      </x:c>
      <x:c r="F2" t="s">
        <x:v>45</x:v>
      </x:c>
      <x:c r="G2" t="s">
        <x:v>46</x:v>
      </x:c>
    </x:row>
    <x:row r="3">
      <x:c r="A3" t="s">
        <x:v>14</x:v>
      </x:c>
      <x:c r="B3" t="s">
        <x:v>15</x:v>
      </x:c>
      <x:c r="C3" t="s">
        <x:v>15</x:v>
      </x:c>
      <x:c r="D3" t="s">
        <x:v>15</x:v>
      </x:c>
      <x:c r="E3" t="s">
        <x:v>15</x:v>
      </x:c>
      <x:c r="F3" t="s">
        <x:v>15</x:v>
      </x:c>
      <x:c r="G3" t="s">
        <x:v>15</x:v>
      </x:c>
    </x:row>
    <x:row r="4">
      <x:c r="A4" t="s">
        <x:v>17</x:v>
      </x:c>
      <x:c r="B4" t="s">
        <x:v>47</x:v>
      </x:c>
      <x:c r="C4" t="s">
        <x:v>48</x:v>
      </x:c>
      <x:c r="D4" t="s">
        <x:v>49</x:v>
      </x:c>
      <x:c r="E4" t="s">
        <x:v>50</x:v>
      </x:c>
      <x:c r="F4" t="s">
        <x:v>51</x:v>
      </x:c>
      <x:c r="G4" t="s">
        <x:v>52</x:v>
      </x:c>
    </x:row>
    <x:row r="5">
      <x:c r="A5" s="4">
        <x:v>42766</x:v>
      </x:c>
      <x:c r="B5" s="5">
        <x:v>665.45261200000004</x:v>
      </x:c>
      <x:c r="C5" s="5">
        <x:v>0</x:v>
      </x:c>
      <x:c r="D5" s="5">
        <x:v>0</x:v>
      </x:c>
      <x:c r="E5" s="5">
        <x:v>0</x:v>
      </x:c>
      <x:c r="F5" s="5">
        <x:v>0</x:v>
      </x:c>
      <x:c r="G5" s="5">
        <x:v>0</x:v>
      </x:c>
    </x:row>
    <x:row r="6">
      <x:c r="A6" s="4">
        <x:v>42794</x:v>
      </x:c>
      <x:c r="B6" s="5">
        <x:v>474.761259</x:v>
      </x:c>
      <x:c r="C6" s="5">
        <x:v>0</x:v>
      </x:c>
      <x:c r="D6" s="5">
        <x:v>0</x:v>
      </x:c>
      <x:c r="E6" s="5">
        <x:v>0</x:v>
      </x:c>
      <x:c r="F6" s="5">
        <x:v>0</x:v>
      </x:c>
      <x:c r="G6" s="5">
        <x:v>0</x:v>
      </x:c>
    </x:row>
    <x:row r="7">
      <x:c r="A7" s="4">
        <x:v>42825</x:v>
      </x:c>
      <x:c r="B7" s="5">
        <x:v>3704.74433</x:v>
      </x:c>
      <x:c r="C7" s="5">
        <x:v>0</x:v>
      </x:c>
      <x:c r="D7" s="5">
        <x:v>0</x:v>
      </x:c>
      <x:c r="E7" s="5">
        <x:v>0</x:v>
      </x:c>
      <x:c r="F7" s="5">
        <x:v>0</x:v>
      </x:c>
      <x:c r="G7" s="5">
        <x:v>0</x:v>
      </x:c>
    </x:row>
    <x:row r="8">
      <x:c r="A8" s="4">
        <x:v>42855</x:v>
      </x:c>
      <x:c r="B8" s="5">
        <x:v>9643.6768699999993</x:v>
      </x:c>
      <x:c r="C8" s="5">
        <x:v>0</x:v>
      </x:c>
      <x:c r="D8" s="5">
        <x:v>0</x:v>
      </x:c>
      <x:c r="E8" s="5">
        <x:v>0</x:v>
      </x:c>
      <x:c r="F8" s="5">
        <x:v>0</x:v>
      </x:c>
      <x:c r="G8" s="5">
        <x:v>0</x:v>
      </x:c>
    </x:row>
    <x:row r="9">
      <x:c r="A9" s="4">
        <x:v>42886</x:v>
      </x:c>
      <x:c r="B9" s="5">
        <x:v>16148.301097</x:v>
      </x:c>
      <x:c r="C9" s="5">
        <x:v>0</x:v>
      </x:c>
      <x:c r="D9" s="5">
        <x:v>0</x:v>
      </x:c>
      <x:c r="E9" s="5">
        <x:v>0</x:v>
      </x:c>
      <x:c r="F9" s="5">
        <x:v>0</x:v>
      </x:c>
      <x:c r="G9" s="5">
        <x:v>0</x:v>
      </x:c>
    </x:row>
    <x:row r="10">
      <x:c r="A10" s="4">
        <x:v>42916</x:v>
      </x:c>
      <x:c r="B10" s="5">
        <x:v>22719.618591999999</x:v>
      </x:c>
      <x:c r="C10" s="5">
        <x:v>0</x:v>
      </x:c>
      <x:c r="D10" s="5">
        <x:v>0</x:v>
      </x:c>
      <x:c r="E10" s="5">
        <x:v>0</x:v>
      </x:c>
      <x:c r="F10" s="5">
        <x:v>0</x:v>
      </x:c>
      <x:c r="G10" s="5">
        <x:v>0</x:v>
      </x:c>
    </x:row>
    <x:row r="11">
      <x:c r="A11" s="4">
        <x:v>42947</x:v>
      </x:c>
      <x:c r="B11" s="5">
        <x:v>32192.045102</x:v>
      </x:c>
      <x:c r="C11" s="5">
        <x:v>0</x:v>
      </x:c>
      <x:c r="D11" s="5">
        <x:v>0</x:v>
      </x:c>
      <x:c r="E11" s="5">
        <x:v>0</x:v>
      </x:c>
      <x:c r="F11" s="5">
        <x:v>0</x:v>
      </x:c>
      <x:c r="G11" s="5">
        <x:v>0</x:v>
      </x:c>
    </x:row>
    <x:row r="12">
      <x:c r="A12" s="4">
        <x:v>42978</x:v>
      </x:c>
      <x:c r="B12" s="5">
        <x:v>36611.788245999996</x:v>
      </x:c>
      <x:c r="C12" s="5">
        <x:v>0</x:v>
      </x:c>
      <x:c r="D12" s="5">
        <x:v>0</x:v>
      </x:c>
      <x:c r="E12" s="5">
        <x:v>0</x:v>
      </x:c>
      <x:c r="F12" s="5">
        <x:v>0</x:v>
      </x:c>
      <x:c r="G12" s="5">
        <x:v>0</x:v>
      </x:c>
    </x:row>
    <x:row r="13">
      <x:c r="A13" s="4">
        <x:v>43008</x:v>
      </x:c>
      <x:c r="B13" s="5">
        <x:v>42097.879334999998</x:v>
      </x:c>
      <x:c r="C13" s="5">
        <x:v>0</x:v>
      </x:c>
      <x:c r="D13" s="5">
        <x:v>0</x:v>
      </x:c>
      <x:c r="E13" s="5">
        <x:v>0</x:v>
      </x:c>
      <x:c r="F13" s="5">
        <x:v>0</x:v>
      </x:c>
      <x:c r="G13" s="5">
        <x:v>0</x:v>
      </x:c>
    </x:row>
    <x:row r="14">
      <x:c r="A14" s="4">
        <x:v>43039</x:v>
      </x:c>
      <x:c r="B14" s="5">
        <x:v>47065.835646</x:v>
      </x:c>
      <x:c r="C14" s="5">
        <x:v>0</x:v>
      </x:c>
      <x:c r="D14" s="5">
        <x:v>0</x:v>
      </x:c>
      <x:c r="E14" s="5">
        <x:v>0</x:v>
      </x:c>
      <x:c r="F14" s="5">
        <x:v>0</x:v>
      </x:c>
      <x:c r="G14" s="5">
        <x:v>0</x:v>
      </x:c>
    </x:row>
    <x:row r="15">
      <x:c r="A15" s="4">
        <x:v>43069</x:v>
      </x:c>
      <x:c r="B15" s="5">
        <x:v>53045.136538999999</x:v>
      </x:c>
      <x:c r="C15" s="5">
        <x:v>2384</x:v>
      </x:c>
      <x:c r="D15" s="5">
        <x:v>15773</x:v>
      </x:c>
      <x:c r="E15" s="5">
        <x:v>0</x:v>
      </x:c>
      <x:c r="F15" s="5">
        <x:v>0</x:v>
      </x:c>
      <x:c r="G15" s="5">
        <x:v>27485</x:v>
      </x:c>
    </x:row>
    <x:row r="16">
      <x:c r="A16" s="4">
        <x:v>43100</x:v>
      </x:c>
      <x:c r="B16" s="5">
        <x:v>55804.068636000004</x:v>
      </x:c>
      <x:c r="C16" s="5">
        <x:v>300</x:v>
      </x:c>
      <x:c r="D16" s="5">
        <x:v>15898</x:v>
      </x:c>
      <x:c r="E16" s="5">
        <x:v>0</x:v>
      </x:c>
      <x:c r="F16" s="5">
        <x:v>0</x:v>
      </x:c>
      <x:c r="G16" s="5">
        <x:v>27683</x:v>
      </x:c>
    </x:row>
    <x:row r="17">
      <x:c r="A17" s="4">
        <x:v>43131</x:v>
      </x:c>
      <x:c r="B17" s="5">
        <x:v>5.3624369999999999</x:v>
      </x:c>
      <x:c r="C17" s="5">
        <x:v>0</x:v>
      </x:c>
      <x:c r="D17" s="5">
        <x:v>0</x:v>
      </x:c>
      <x:c r="E17" s="5">
        <x:v>0</x:v>
      </x:c>
      <x:c r="F17" s="5">
        <x:v>0</x:v>
      </x:c>
      <x:c r="G17" s="5">
        <x:v>0</x:v>
      </x:c>
    </x:row>
    <x:row r="18">
      <x:c r="A18" s="4">
        <x:v>43159</x:v>
      </x:c>
      <x:c r="B18" s="5">
        <x:v>180.634028</x:v>
      </x:c>
      <x:c r="C18" s="5">
        <x:v>0</x:v>
      </x:c>
      <x:c r="D18" s="5">
        <x:v>0</x:v>
      </x:c>
      <x:c r="E18" s="5">
        <x:v>0</x:v>
      </x:c>
      <x:c r="F18" s="5">
        <x:v>0</x:v>
      </x:c>
      <x:c r="G18" s="5">
        <x:v>0</x:v>
      </x:c>
    </x:row>
    <x:row r="19">
      <x:c r="A19" s="4">
        <x:v>43190</x:v>
      </x:c>
      <x:c r="B19" s="5">
        <x:v>1996.4824149999999</x:v>
      </x:c>
      <x:c r="C19" s="5">
        <x:v>592</x:v>
      </x:c>
      <x:c r="D19" s="5">
        <x:v>0</x:v>
      </x:c>
      <x:c r="E19" s="5">
        <x:v>0</x:v>
      </x:c>
      <x:c r="F19" s="5">
        <x:v>0</x:v>
      </x:c>
      <x:c r="G19" s="5">
        <x:v>2195</x:v>
      </x:c>
    </x:row>
    <x:row r="20">
      <x:c r="A20" s="4">
        <x:v>43220</x:v>
      </x:c>
      <x:c r="B20" s="5">
        <x:v>7299.3067460000002</x:v>
      </x:c>
      <x:c r="C20" s="5">
        <x:v>808</x:v>
      </x:c>
      <x:c r="D20" s="5">
        <x:v>0</x:v>
      </x:c>
      <x:c r="E20" s="5">
        <x:v>0</x:v>
      </x:c>
      <x:c r="F20" s="5">
        <x:v>0</x:v>
      </x:c>
      <x:c r="G20" s="5">
        <x:v>5213</x:v>
      </x:c>
    </x:row>
    <x:row r="21">
      <x:c r="A21" s="4">
        <x:v>43251</x:v>
      </x:c>
      <x:c r="B21" s="5">
        <x:v>10027.359345000001</x:v>
      </x:c>
      <x:c r="C21" s="5">
        <x:v>1187</x:v>
      </x:c>
      <x:c r="D21" s="5">
        <x:v>171</x:v>
      </x:c>
      <x:c r="E21" s="5">
        <x:v>0</x:v>
      </x:c>
      <x:c r="F21" s="5">
        <x:v>0</x:v>
      </x:c>
      <x:c r="G21" s="5">
        <x:v>8595</x:v>
      </x:c>
    </x:row>
    <x:row r="22">
      <x:c r="A22" s="4">
        <x:v>43281</x:v>
      </x:c>
      <x:c r="B22" s="5">
        <x:v>16536.691408999999</x:v>
      </x:c>
      <x:c r="C22" s="5">
        <x:v>909</x:v>
      </x:c>
      <x:c r="D22" s="5">
        <x:v>3329</x:v>
      </x:c>
      <x:c r="E22" s="5">
        <x:v>0</x:v>
      </x:c>
      <x:c r="F22" s="5">
        <x:v>0</x:v>
      </x:c>
      <x:c r="G22" s="5">
        <x:v>10780</x:v>
      </x:c>
    </x:row>
    <x:row r="23">
      <x:c r="A23" s="4">
        <x:v>43312</x:v>
      </x:c>
      <x:c r="B23" s="5">
        <x:v>24534.803702000001</x:v>
      </x:c>
      <x:c r="C23" s="5">
        <x:v>1959</x:v>
      </x:c>
      <x:c r="D23" s="5">
        <x:v>7942</x:v>
      </x:c>
      <x:c r="E23" s="5">
        <x:v>0</x:v>
      </x:c>
      <x:c r="F23" s="5">
        <x:v>0</x:v>
      </x:c>
      <x:c r="G23" s="5">
        <x:v>13737</x:v>
      </x:c>
    </x:row>
    <x:row r="24">
      <x:c r="A24" s="4">
        <x:v>43343</x:v>
      </x:c>
      <x:c r="B24" s="5">
        <x:v>33186.143982000001</x:v>
      </x:c>
      <x:c r="C24" s="5">
        <x:v>5266</x:v>
      </x:c>
      <x:c r="D24" s="5">
        <x:v>13069</x:v>
      </x:c>
      <x:c r="E24" s="5">
        <x:v>0</x:v>
      </x:c>
      <x:c r="F24" s="5">
        <x:v>0</x:v>
      </x:c>
      <x:c r="G24" s="5">
        <x:v>17439</x:v>
      </x:c>
    </x:row>
    <x:row r="25">
      <x:c r="A25" s="4">
        <x:v>43373</x:v>
      </x:c>
      <x:c r="B25" s="5">
        <x:v>42294.255338000003</x:v>
      </x:c>
      <x:c r="C25" s="5">
        <x:v>6740</x:v>
      </x:c>
      <x:c r="D25" s="5">
        <x:v>20113</x:v>
      </x:c>
      <x:c r="E25" s="5">
        <x:v>0</x:v>
      </x:c>
      <x:c r="F25" s="5">
        <x:v>0</x:v>
      </x:c>
      <x:c r="G25" s="5">
        <x:v>17881</x:v>
      </x:c>
    </x:row>
    <x:row r="26">
      <x:c r="A26" s="4">
        <x:v>43404</x:v>
      </x:c>
      <x:c r="B26" s="5">
        <x:v>45326.298668000003</x:v>
      </x:c>
      <x:c r="C26" s="5">
        <x:v>1273</x:v>
      </x:c>
      <x:c r="D26" s="5">
        <x:v>21190</x:v>
      </x:c>
      <x:c r="E26" s="5">
        <x:v>13207</x:v>
      </x:c>
      <x:c r="F26" s="5">
        <x:v>7983</x:v>
      </x:c>
      <x:c r="G26" s="5">
        <x:v>19364</x:v>
      </x:c>
    </x:row>
    <x:row r="27">
      <x:c r="A27" s="4">
        <x:v>43434</x:v>
      </x:c>
      <x:c r="B27" s="5">
        <x:v>45079.092111999998</x:v>
      </x:c>
      <x:c r="C27" s="5">
        <x:v>189</x:v>
      </x:c>
      <x:c r="D27" s="5">
        <x:v>21232</x:v>
      </x:c>
      <x:c r="E27" s="5">
        <x:v>13207</x:v>
      </x:c>
      <x:c r="F27" s="5">
        <x:v>8025</x:v>
      </x:c>
      <x:c r="G27" s="5">
        <x:v>19782</x:v>
      </x:c>
    </x:row>
    <x:row r="28">
      <x:c r="A28" s="4">
        <x:v>43465</x:v>
      </x:c>
      <x:c r="B28" s="5">
        <x:v>48530.846170999997</x:v>
      </x:c>
      <x:c r="C28" s="5">
        <x:v>362</x:v>
      </x:c>
      <x:c r="D28" s="5">
        <x:v>21705</x:v>
      </x:c>
      <x:c r="E28" s="5">
        <x:v>0</x:v>
      </x:c>
      <x:c r="F28" s="5">
        <x:v>0</x:v>
      </x:c>
      <x:c r="G28" s="5">
        <x:v>19947</x:v>
      </x:c>
    </x:row>
    <x:row r="29">
      <x:c r="A29" s="4">
        <x:v>43496</x:v>
      </x:c>
      <x:c r="B29" s="5">
        <x:v>1699.7666770000001</x:v>
      </x:c>
      <x:c r="C29" s="5">
        <x:v>1545</x:v>
      </x:c>
      <x:c r="D29" s="5">
        <x:v>3688</x:v>
      </x:c>
      <x:c r="E29" s="5">
        <x:v>1412</x:v>
      </x:c>
      <x:c r="F29" s="5">
        <x:v>2276</x:v>
      </x:c>
      <x:c r="G29" s="5">
        <x:v>492</x:v>
      </x:c>
    </x:row>
    <x:row r="30">
      <x:c r="A30" s="4">
        <x:v>43524</x:v>
      </x:c>
      <x:c r="B30" s="5">
        <x:v>6046.4677789999996</x:v>
      </x:c>
      <x:c r="C30" s="5">
        <x:v>1717</x:v>
      </x:c>
      <x:c r="D30" s="5">
        <x:v>6961</x:v>
      </x:c>
      <x:c r="E30" s="5">
        <x:v>3078</x:v>
      </x:c>
      <x:c r="F30" s="5">
        <x:v>3883</x:v>
      </x:c>
      <x:c r="G30" s="5">
        <x:v>860</x:v>
      </x:c>
    </x:row>
    <x:row r="31">
      <x:c r="A31" s="4">
        <x:v>43555</x:v>
      </x:c>
      <x:c r="B31" s="5">
        <x:v>9458.6520029999992</x:v>
      </x:c>
      <x:c r="C31" s="5">
        <x:v>3910</x:v>
      </x:c>
      <x:c r="D31" s="5">
        <x:v>11847</x:v>
      </x:c>
      <x:c r="E31" s="5">
        <x:v>6660</x:v>
      </x:c>
      <x:c r="F31" s="5">
        <x:v>5187</x:v>
      </x:c>
      <x:c r="G31" s="5">
        <x:v>2220</x:v>
      </x:c>
    </x:row>
    <x:row r="32">
      <x:c r="A32" s="4">
        <x:v>43585</x:v>
      </x:c>
      <x:c r="B32" s="5">
        <x:v>13891.347019999999</x:v>
      </x:c>
      <x:c r="C32" s="5">
        <x:v>945</x:v>
      </x:c>
      <x:c r="D32" s="5">
        <x:v>12940</x:v>
      </x:c>
      <x:c r="E32" s="5">
        <x:v>7297</x:v>
      </x:c>
      <x:c r="F32" s="5">
        <x:v>5643</x:v>
      </x:c>
      <x:c r="G32" s="5">
        <x:v>3393</x:v>
      </x:c>
    </x:row>
    <x:row r="33">
      <x:c r="A33" s="4">
        <x:v>43616</x:v>
      </x:c>
      <x:c r="B33" s="5">
        <x:v>17748.069275000002</x:v>
      </x:c>
      <x:c r="C33" s="5">
        <x:v>1579</x:v>
      </x:c>
      <x:c r="D33" s="5">
        <x:v>14596</x:v>
      </x:c>
      <x:c r="E33" s="5">
        <x:v>8598</x:v>
      </x:c>
      <x:c r="F33" s="5">
        <x:v>5998</x:v>
      </x:c>
      <x:c r="G33" s="5">
        <x:v>4780</x:v>
      </x:c>
    </x:row>
    <x:row r="34">
      <x:c r="A34" s="4">
        <x:v>43646</x:v>
      </x:c>
      <x:c r="B34" s="5">
        <x:v>24615.334909000001</x:v>
      </x:c>
      <x:c r="C34" s="5">
        <x:v>5817.8</x:v>
      </x:c>
      <x:c r="D34" s="5">
        <x:v>21764.57</x:v>
      </x:c>
      <x:c r="E34" s="5">
        <x:v>13865.85</x:v>
      </x:c>
      <x:c r="F34" s="5">
        <x:v>7898.72</x:v>
      </x:c>
      <x:c r="G34" s="5">
        <x:v>6607.44</x:v>
      </x:c>
    </x:row>
    <x:row r="35">
      <x:c r="A35" s="4">
        <x:v>43677</x:v>
      </x:c>
      <x:c r="B35" s="5">
        <x:v>31042.654640000001</x:v>
      </x:c>
      <x:c r="C35" s="5">
        <x:v>3939.56</x:v>
      </x:c>
      <x:c r="D35" s="5">
        <x:v>25529.79</x:v>
      </x:c>
      <x:c r="E35" s="5">
        <x:v>16862.990000000002</x:v>
      </x:c>
      <x:c r="F35" s="5">
        <x:v>8666.7999999999993</x:v>
      </x:c>
      <x:c r="G35" s="5">
        <x:v>8401.6</x:v>
      </x:c>
    </x:row>
    <x:row r="36">
      <x:c r="A36" s="4">
        <x:v>43708</x:v>
      </x:c>
      <x:c r="B36" s="5">
        <x:v>36101.628819999998</x:v>
      </x:c>
      <x:c r="C36" s="5">
        <x:v>4062.47</x:v>
      </x:c>
      <x:c r="D36" s="5">
        <x:v>28950.83</x:v>
      </x:c>
      <x:c r="E36" s="5">
        <x:v>20057.47</x:v>
      </x:c>
      <x:c r="F36" s="5">
        <x:v>8893.36</x:v>
      </x:c>
      <x:c r="G36" s="5">
        <x:v>10675.25</x:v>
      </x:c>
    </x:row>
    <x:row r="37">
      <x:c r="A37" s="4">
        <x:v>43738</x:v>
      </x:c>
      <x:c r="B37" s="5">
        <x:v>39878.597471000001</x:v>
      </x:c>
      <x:c r="C37" s="5">
        <x:v>1630.15</x:v>
      </x:c>
      <x:c r="D37" s="5">
        <x:v>30367.09</x:v>
      </x:c>
      <x:c r="E37" s="5">
        <x:v>21297.3</x:v>
      </x:c>
      <x:c r="F37" s="5">
        <x:v>9069.7900000000009</x:v>
      </x:c>
      <x:c r="G37" s="5">
        <x:v>11454.82</x:v>
      </x:c>
    </x:row>
    <x:row r="38">
      <x:c r="A38" s="4">
        <x:v>43769</x:v>
      </x:c>
      <x:c r="B38" s="5">
        <x:v>41749.48749</x:v>
      </x:c>
      <x:c r="C38" s="5">
        <x:v>168.84</x:v>
      </x:c>
      <x:c r="D38" s="5">
        <x:v>30367.09</x:v>
      </x:c>
      <x:c r="E38" s="5">
        <x:v>21297.3</x:v>
      </x:c>
      <x:c r="F38" s="5">
        <x:v>9069.7900000000009</x:v>
      </x:c>
      <x:c r="G38" s="5">
        <x:v>12419.42</x:v>
      </x:c>
    </x:row>
    <x:row r="39">
      <x:c r="A39" s="4">
        <x:v>43799</x:v>
      </x:c>
      <x:c r="B39" s="5">
        <x:v>43465.487666000001</x:v>
      </x:c>
      <x:c r="C39" s="5">
        <x:v>227.24</x:v>
      </x:c>
      <x:c r="D39" s="5">
        <x:v>30367</x:v>
      </x:c>
      <x:c r="E39" s="5">
        <x:v>21297</x:v>
      </x:c>
      <x:c r="F39" s="5">
        <x:v>9070</x:v>
      </x:c>
      <x:c r="G39" s="5">
        <x:v>12877</x:v>
      </x:c>
    </x:row>
    <x:row r="40">
      <x:c r="A40" s="4">
        <x:v>43830</x:v>
      </x:c>
      <x:c r="B40" s="5">
        <x:v>47204</x:v>
      </x:c>
      <x:c r="C40" s="5">
        <x:v>340</x:v>
      </x:c>
      <x:c r="D40" s="5">
        <x:v>30560.75</x:v>
      </x:c>
      <x:c r="E40" s="5">
        <x:v>21487.3</x:v>
      </x:c>
      <x:c r="F40" s="5">
        <x:v>9073.4500000000007</x:v>
      </x:c>
      <x:c r="G40" s="5">
        <x:v>13063.52</x:v>
      </x:c>
    </x:row>
    <x:row r="41">
      <x:c r="A41" s="4">
        <x:v>43861</x:v>
      </x:c>
      <x:c r="B41" s="5">
        <x:v>7613</x:v>
      </x:c>
      <x:c r="C41" s="5">
        <x:v>7148.21</x:v>
      </x:c>
      <x:c r="D41" s="5">
        <x:v>7850.64</x:v>
      </x:c>
      <x:c r="E41" s="5">
        <x:v>7148.21</x:v>
      </x:c>
      <x:c r="F41" s="5">
        <x:v>702.43</x:v>
      </x:c>
      <x:c r="G41" s="5">
        <x:v>0</x:v>
      </x:c>
    </x:row>
    <x:row r="42">
      <x:c r="A42" s="4">
        <x:v>43890</x:v>
      </x:c>
      <x:c r="B42" s="5">
        <x:v>9437</x:v>
      </x:c>
      <x:c r="C42" s="5">
        <x:v>2350</x:v>
      </x:c>
      <x:c r="D42" s="5">
        <x:v>12230</x:v>
      </x:c>
      <x:c r="E42" s="5">
        <x:v>9498</x:v>
      </x:c>
      <x:c r="F42" s="5">
        <x:v>2732</x:v>
      </x:c>
      <x:c r="G42" s="5">
        <x:v>0</x:v>
      </x:c>
    </x:row>
    <x:row r="43">
      <x:c r="A43" s="4">
        <x:v>43921</x:v>
      </x:c>
      <x:c r="B43" s="5">
        <x:v>15781</x:v>
      </x:c>
      <x:c r="C43" s="5">
        <x:v>1541.97</x:v>
      </x:c>
      <x:c r="D43" s="5">
        <x:v>15423.83</x:v>
      </x:c>
      <x:c r="E43" s="5">
        <x:v>10828.85</x:v>
      </x:c>
      <x:c r="F43" s="5">
        <x:v>4594.9799999999996</x:v>
      </x:c>
      <x:c r="G43" s="5">
        <x:v>681.25</x:v>
      </x:c>
    </x:row>
    <x:row r="44">
      <x:c r="A44" s="4">
        <x:v>43951</x:v>
      </x:c>
      <x:c r="B44" s="5">
        <x:v>19138</x:v>
      </x:c>
      <x:c r="C44" s="5">
        <x:v>1200.0899999999999</x:v>
      </x:c>
      <x:c r="D44" s="5">
        <x:v>16625.57</x:v>
      </x:c>
      <x:c r="E44" s="5">
        <x:v>11521.53</x:v>
      </x:c>
      <x:c r="F44" s="5">
        <x:v>5104.04</x:v>
      </x:c>
      <x:c r="G44" s="5">
        <x:v>2347.11</x:v>
      </x:c>
    </x:row>
    <x:row r="45">
      <x:c r="A45" s="4">
        <x:v>43982</x:v>
      </x:c>
      <x:c r="B45" s="5">
        <x:v>30500</x:v>
      </x:c>
      <x:c r="C45" s="5">
        <x:v>10309.65</x:v>
      </x:c>
      <x:c r="D45" s="5">
        <x:v>27023.64</x:v>
      </x:c>
      <x:c r="E45" s="5">
        <x:v>21501.71</x:v>
      </x:c>
      <x:c r="F45" s="5">
        <x:v>5521.93</x:v>
      </x:c>
      <x:c r="G45" s="5">
        <x:v>4973.63</x:v>
      </x:c>
    </x:row>
    <x:row r="46">
      <x:c r="A46" s="4">
        <x:v>44012</x:v>
      </x:c>
      <x:c r="B46" s="5">
        <x:v>37950</x:v>
      </x:c>
      <x:c r="C46" s="5">
        <x:v>1176</x:v>
      </x:c>
      <x:c r="D46" s="5">
        <x:v>27869</x:v>
      </x:c>
      <x:c r="E46" s="5">
        <x:v>22313</x:v>
      </x:c>
      <x:c r="F46" s="5">
        <x:v>5556</x:v>
      </x:c>
      <x:c r="G46" s="5">
        <x:v>6995</x:v>
      </x:c>
    </x:row>
    <x:row r="47">
      <x:c r="A47" s="4">
        <x:v>44043</x:v>
      </x:c>
      <x:c r="B47" s="5">
        <x:v>43409</x:v>
      </x:c>
      <x:c r="C47" s="5">
        <x:v>958.62</x:v>
      </x:c>
      <x:c r="D47" s="5">
        <x:v>28290.52</x:v>
      </x:c>
      <x:c r="E47" s="5">
        <x:v>22661.33</x:v>
      </x:c>
      <x:c r="F47" s="5">
        <x:v>5629.19</x:v>
      </x:c>
      <x:c r="G47" s="5">
        <x:v>9295.91</x:v>
      </x:c>
    </x:row>
    <x:row r="48">
      <x:c r="A48" s="4">
        <x:v>44074</x:v>
      </x:c>
      <x:c r="B48" s="5">
        <x:v>57197</x:v>
      </x:c>
      <x:c r="C48" s="5">
        <x:v>7199.29</x:v>
      </x:c>
      <x:c r="D48" s="5">
        <x:v>37499.07</x:v>
      </x:c>
      <x:c r="E48" s="5">
        <x:v>28968.66</x:v>
      </x:c>
      <x:c r="F48" s="5">
        <x:v>8530.41</x:v>
      </x:c>
      <x:c r="G48" s="5">
        <x:v>12084.58</x:v>
      </x:c>
    </x:row>
    <x:row r="49">
      <x:c r="A49" s="4">
        <x:v>44104</x:v>
      </x:c>
      <x:c r="B49" s="5">
        <x:v>67313</x:v>
      </x:c>
      <x:c r="C49" s="5">
        <x:v>5083.1400000000003</x:v>
      </x:c>
      <x:c r="D49" s="5">
        <x:v>43045.3</x:v>
      </x:c>
      <x:c r="E49" s="5">
        <x:v>33651.870000000003</x:v>
      </x:c>
      <x:c r="F49" s="5">
        <x:v>9393.43</x:v>
      </x:c>
      <x:c r="G49" s="5">
        <x:v>13743.79</x:v>
      </x:c>
    </x:row>
    <x:row r="50">
      <x:c r="A50" s="4">
        <x:v>44135</x:v>
      </x:c>
      <x:c r="B50" s="5">
        <x:v>72244</x:v>
      </x:c>
      <x:c r="C50" s="5">
        <x:v>2839.61</x:v>
      </x:c>
      <x:c r="D50" s="5">
        <x:v>44944.55</x:v>
      </x:c>
      <x:c r="E50" s="5">
        <x:v>35465.800000000003</x:v>
      </x:c>
      <x:c r="F50" s="5">
        <x:v>9478.75</x:v>
      </x:c>
      <x:c r="G50" s="5">
        <x:v>16273.8</x:v>
      </x:c>
    </x:row>
    <x:row r="51">
      <x:c r="A51" s="4">
        <x:v>44165</x:v>
      </x:c>
      <x:c r="B51" s="5">
        <x:v>76244</x:v>
      </x:c>
      <x:c r="C51" s="5">
        <x:v>490.78</x:v>
      </x:c>
      <x:c r="D51" s="5">
        <x:v>44944.55</x:v>
      </x:c>
      <x:c r="E51" s="5">
        <x:v>35465.800000000003</x:v>
      </x:c>
      <x:c r="F51" s="5">
        <x:v>9478.75</x:v>
      </x:c>
      <x:c r="G51" s="5">
        <x:v>17657.45</x:v>
      </x:c>
    </x:row>
    <x:row r="52">
      <x:c r="A52" s="4">
        <x:v>44196</x:v>
      </x:c>
      <x:c r="B52" s="5">
        <x:v>83370</x:v>
      </x:c>
      <x:c r="C52" s="5">
        <x:v>1107.6500000000001</x:v>
      </x:c>
      <x:c r="D52" s="5">
        <x:v>45524.85</x:v>
      </x:c>
      <x:c r="E52" s="5">
        <x:v>36018.699999999997</x:v>
      </x:c>
      <x:c r="F52" s="5">
        <x:v>9506.15</x:v>
      </x:c>
      <x:c r="G52" s="5">
        <x:v>18913.27</x:v>
      </x:c>
    </x:row>
    <x:row r="53">
      <x:c r="A53" s="4">
        <x:v>44227</x:v>
      </x:c>
      <x:c r="B53" s="5">
        <x:v>2437</x:v>
      </x:c>
      <x:c r="C53" s="5">
        <x:v>1495.78</x:v>
      </x:c>
      <x:c r="D53" s="5">
        <x:v>0</x:v>
      </x:c>
      <x:c r="E53" s="5">
        <x:v>0</x:v>
      </x:c>
      <x:c r="F53" s="5">
        <x:v>0</x:v>
      </x:c>
      <x:c r="G53" s="5">
        <x:v>3623.36</x:v>
      </x:c>
    </x:row>
    <x:row r="54">
      <x:c r="A54" s="4">
        <x:v>44255</x:v>
      </x:c>
      <x:c r="B54" s="5">
        <x:v>3454</x:v>
      </x:c>
      <x:c r="C54" s="5">
        <x:v>262.42</x:v>
      </x:c>
      <x:c r="D54" s="5">
        <x:v>0</x:v>
      </x:c>
      <x:c r="E54" s="5">
        <x:v>0</x:v>
      </x:c>
      <x:c r="F54" s="5">
        <x:v>0</x:v>
      </x:c>
      <x:c r="G54" s="5">
        <x:v>4180.6000000000004</x:v>
      </x:c>
    </x:row>
    <x:row r="55">
      <x:c r="A55" s="4">
        <x:v>44286</x:v>
      </x:c>
      <x:c r="B55" s="5">
        <x:v>6584</x:v>
      </x:c>
      <x:c r="C55" s="5">
        <x:v>1982.39</x:v>
      </x:c>
      <x:c r="D55" s="5">
        <x:v>364</x:v>
      </x:c>
      <x:c r="E55" s="5">
        <x:v>264</x:v>
      </x:c>
      <x:c r="F55" s="5">
        <x:v>100</x:v>
      </x:c>
      <x:c r="G55" s="5">
        <x:v>8587.1</x:v>
      </x:c>
    </x:row>
    <x:row r="56">
      <x:c r="A56" s="4">
        <x:v>44316</x:v>
      </x:c>
      <x:c r="B56" s="5">
        <x:v>10323</x:v>
      </x:c>
      <x:c r="C56" s="5">
        <x:v>3439.01</x:v>
      </x:c>
      <x:c r="D56" s="5">
        <x:v>3763.18</x:v>
      </x:c>
      <x:c r="E56" s="5">
        <x:v>2320.08</x:v>
      </x:c>
      <x:c r="F56" s="5">
        <x:v>1443.1</x:v>
      </x:c>
      <x:c r="G56" s="5">
        <x:v>12946.15</x:v>
      </x:c>
    </x:row>
    <x:row r="57">
      <x:c r="A57" s="4">
        <x:v>44347</x:v>
      </x:c>
      <x:c r="B57" s="5">
        <x:v>17024</x:v>
      </x:c>
      <x:c r="C57" s="5">
        <x:v>4524.01</x:v>
      </x:c>
      <x:c r="D57" s="5">
        <x:v>9464.5</x:v>
      </x:c>
      <x:c r="E57" s="5">
        <x:v>5839.95</x:v>
      </x:c>
      <x:c r="F57" s="5">
        <x:v>3624.55</x:v>
      </x:c>
      <x:c r="G57" s="5">
        <x:v>15998</x:v>
      </x:c>
    </x:row>
    <x:row r="58">
      <x:c r="A58" s="4">
        <x:v>44377</x:v>
      </x:c>
      <x:c r="B58" s="5">
        <x:v>24532</x:v>
      </x:c>
      <x:c r="C58" s="5">
        <x:v>5605</x:v>
      </x:c>
      <x:c r="D58" s="5">
        <x:v>14800</x:v>
      </x:c>
      <x:c r="E58" s="5">
        <x:v>10143</x:v>
      </x:c>
      <x:c r="F58" s="5">
        <x:v>4657</x:v>
      </x:c>
      <x:c r="G58" s="5">
        <x:v>18611</x:v>
      </x:c>
    </x:row>
    <x:row r="59">
      <x:c r="A59" s="4">
        <x:v>44408</x:v>
      </x:c>
      <x:c r="B59" s="5">
        <x:v>26352</x:v>
      </x:c>
      <x:c r="C59" s="5">
        <x:v>4088</x:v>
      </x:c>
      <x:c r="D59" s="5">
        <x:v>18833</x:v>
      </x:c>
      <x:c r="E59" s="5">
        <x:v>13546</x:v>
      </x:c>
      <x:c r="F59" s="5">
        <x:v>5287</x:v>
      </x:c>
      <x:c r="G59" s="5">
        <x:v>21146</x:v>
      </x:c>
    </x:row>
    <x:row r="60">
      <x:c r="A60" s="4">
        <x:v>44439</x:v>
      </x:c>
      <x:c r="B60" s="5">
        <x:v>36090</x:v>
      </x:c>
      <x:c r="C60" s="5">
        <x:v>6360</x:v>
      </x:c>
      <x:c r="D60" s="5">
        <x:v>24763</x:v>
      </x:c>
      <x:c r="E60" s="5">
        <x:v>18430</x:v>
      </x:c>
      <x:c r="F60" s="5">
        <x:v>6333</x:v>
      </x:c>
      <x:c r="G60" s="5">
        <x:v>24013</x:v>
      </x:c>
    </x:row>
    <x:row r="61">
      <x:c r="A61" s="4">
        <x:v>44469</x:v>
      </x:c>
      <x:c r="B61" s="5">
        <x:v>44155</x:v>
      </x:c>
      <x:c r="C61" s="5">
        <x:v>6013</x:v>
      </x:c>
      <x:c r="D61" s="5">
        <x:v>30480</x:v>
      </x:c>
      <x:c r="E61" s="5">
        <x:v>23661</x:v>
      </x:c>
      <x:c r="F61" s="5">
        <x:v>6819</x:v>
      </x:c>
      <x:c r="G61" s="5">
        <x:v>25675</x:v>
      </x:c>
    </x:row>
    <x:row r="62">
      <x:c r="A62" s="4">
        <x:v>44500</x:v>
      </x:c>
      <x:c r="B62" s="5">
        <x:v>50322</x:v>
      </x:c>
      <x:c r="C62" s="5">
        <x:v>6441</x:v>
      </x:c>
      <x:c r="D62" s="5">
        <x:v>36625</x:v>
      </x:c>
      <x:c r="E62" s="5">
        <x:v>29072</x:v>
      </x:c>
      <x:c r="F62" s="5">
        <x:v>7552</x:v>
      </x:c>
      <x:c r="G62" s="5">
        <x:v>28291</x:v>
      </x:c>
    </x:row>
    <x:row r="63">
      <x:c r="A63" s="4">
        <x:v>44530</x:v>
      </x:c>
      <x:c r="B63" s="5">
        <x:v>58480</x:v>
      </x:c>
      <x:c r="C63" s="5">
        <x:v>6206</x:v>
      </x:c>
      <x:c r="D63" s="5">
        <x:v>42573</x:v>
      </x:c>
      <x:c r="E63" s="5">
        <x:v>34832</x:v>
      </x:c>
      <x:c r="F63" s="5">
        <x:v>7741</x:v>
      </x:c>
      <x:c r="G63" s="5">
        <x:v>29146</x:v>
      </x:c>
    </x:row>
    <x:row r="64">
      <x:c r="A64" s="4">
        <x:v>44561</x:v>
      </x:c>
      <x:c r="B64" s="5">
        <x:v>70154</x:v>
      </x:c>
      <x:c r="C64" s="5">
        <x:v>2812</x:v>
      </x:c>
      <x:c r="D64" s="5">
        <x:v>43709</x:v>
      </x:c>
      <x:c r="E64" s="5">
        <x:v>35844</x:v>
      </x:c>
      <x:c r="F64" s="5">
        <x:v>7865</x:v>
      </x:c>
      <x:c r="G64" s="5">
        <x:v>31189</x:v>
      </x:c>
    </x:row>
    <x:row r="65">
      <x:c r="A65" s="4">
        <x:v>44592</x:v>
      </x:c>
      <x:c r="B65" s="5">
        <x:v>6026</x:v>
      </x:c>
      <x:c r="C65" s="5">
        <x:v>5765</x:v>
      </x:c>
      <x:c r="D65" s="5">
        <x:v>5837</x:v>
      </x:c>
      <x:c r="E65" s="5">
        <x:v>4844</x:v>
      </x:c>
      <x:c r="F65" s="5">
        <x:v>993</x:v>
      </x:c>
      <x:c r="G65" s="5">
        <x:v>1152</x:v>
      </x:c>
    </x:row>
    <x:row r="66">
      <x:c r="A66" s="4">
        <x:v>44620</x:v>
      </x:c>
      <x:c r="B66" s="5">
        <x:v>8748</x:v>
      </x:c>
      <x:c r="C66" s="5">
        <x:v>3954</x:v>
      </x:c>
      <x:c r="D66" s="5">
        <x:v>10776</x:v>
      </x:c>
      <x:c r="E66" s="5">
        <x:v>8775</x:v>
      </x:c>
      <x:c r="F66" s="5">
        <x:v>2001</x:v>
      </x:c>
      <x:c r="G66" s="5">
        <x:v>1284</x:v>
      </x:c>
    </x:row>
    <x:row r="67">
      <x:c r="A67" s="4">
        <x:v>44651</x:v>
      </x:c>
      <x:c r="B67" s="5">
        <x:v>15822</x:v>
      </x:c>
      <x:c r="C67" s="5">
        <x:v>4901</x:v>
      </x:c>
      <x:c r="D67" s="5">
        <x:v>15701</x:v>
      </x:c>
      <x:c r="E67" s="5">
        <x:v>12980</x:v>
      </x:c>
      <x:c r="F67" s="5">
        <x:v>2721</x:v>
      </x:c>
      <x:c r="G67" s="5">
        <x:v>2545</x:v>
      </x:c>
    </x:row>
    <x:row r="68">
      <x:c r="A68" s="4">
        <x:v>44681</x:v>
      </x:c>
      <x:c r="B68" s="5">
        <x:v>19734</x:v>
      </x:c>
      <x:c r="C68" s="5">
        <x:v>1898</x:v>
      </x:c>
      <x:c r="D68" s="5">
        <x:v>16909</x:v>
      </x:c>
      <x:c r="E68" s="5">
        <x:v>14019</x:v>
      </x:c>
      <x:c r="F68" s="5">
        <x:v>2890</x:v>
      </x:c>
      <x:c r="G68" s="5">
        <x:v>4179</x:v>
      </x:c>
    </x:row>
    <x:row r="69">
      <x:c r="A69" s="4">
        <x:v>44712</x:v>
      </x:c>
      <x:c r="B69" s="5">
        <x:v>30316</x:v>
      </x:c>
      <x:c r="C69" s="5">
        <x:v>7754</x:v>
      </x:c>
      <x:c r="D69" s="5">
        <x:v>24445</x:v>
      </x:c>
      <x:c r="E69" s="5">
        <x:v>20339</x:v>
      </x:c>
      <x:c r="F69" s="5">
        <x:v>4106</x:v>
      </x:c>
      <x:c r="G69" s="5">
        <x:v>8720</x:v>
      </x:c>
    </x:row>
    <x:row r="70">
      <x:c r="A70" s="4">
        <x:v>44742</x:v>
      </x:c>
      <x:c r="B70" s="5">
        <x:v>46532</x:v>
      </x:c>
      <x:c r="C70" s="5">
        <x:v>14913</x:v>
      </x:c>
      <x:c r="D70" s="5">
        <x:v>40210</x:v>
      </x:c>
      <x:c r="E70" s="5">
        <x:v>34062</x:v>
      </x:c>
      <x:c r="F70" s="5">
        <x:v>6148</x:v>
      </x:c>
      <x:c r="G70" s="5">
        <x:v>12292</x:v>
      </x:c>
    </x:row>
    <x:row r="71">
      <x:c r="A71" s="4">
        <x:v>44773</x:v>
      </x:c>
      <x:c r="B71" s="5">
        <x:v>50530</x:v>
      </x:c>
      <x:c r="C71" s="5">
        <x:v>1577</x:v>
      </x:c>
      <x:c r="D71" s="5">
        <x:v>41458</x:v>
      </x:c>
      <x:c r="E71" s="5">
        <x:v>34675</x:v>
      </x:c>
      <x:c r="F71" s="5">
        <x:v>6783</x:v>
      </x:c>
      <x:c r="G71" s="5">
        <x:v>15107</x:v>
      </x:c>
    </x:row>
    <x:row r="72">
      <x:c r="A72" s="4">
        <x:v>44804</x:v>
      </x:c>
      <x:c r="B72" s="5">
        <x:v>53575</x:v>
      </x:c>
      <x:c r="C72" s="5">
        <x:v>2149</x:v>
      </x:c>
      <x:c r="D72" s="5">
        <x:v>42100</x:v>
      </x:c>
      <x:c r="E72" s="5">
        <x:v>35191</x:v>
      </x:c>
      <x:c r="F72" s="5">
        <x:v>6909</x:v>
      </x:c>
      <x:c r="G72" s="5">
        <x:v>18374</x:v>
      </x:c>
    </x:row>
    <x:row r="73">
      <x:c r="A73" s="4">
        <x:v>44834</x:v>
      </x:c>
      <x:c r="B73" s="5">
        <x:v>59109</x:v>
      </x:c>
      <x:c r="C73" s="5">
        <x:v>1207</x:v>
      </x:c>
      <x:c r="D73" s="5">
        <x:v>42422</x:v>
      </x:c>
      <x:c r="E73" s="5">
        <x:v>35432</x:v>
      </x:c>
      <x:c r="F73" s="5">
        <x:v>6990</x:v>
      </x:c>
      <x:c r="G73" s="5">
        <x:v>21063</x:v>
      </x:c>
    </x:row>
    <x:row r="74">
      <x:c r="A74" s="4">
        <x:v>44865</x:v>
      </x:c>
      <x:c r="B74" s="5">
        <x:v>61900</x:v>
      </x:c>
      <x:c r="C74" s="5">
        <x:v>5460</x:v>
      </x:c>
      <x:c r="D74" s="5">
        <x:v>46977</x:v>
      </x:c>
      <x:c r="E74" s="5">
        <x:v>39831</x:v>
      </x:c>
      <x:c r="F74" s="5">
        <x:v>7146</x:v>
      </x:c>
      <x:c r="G74" s="5">
        <x:v>23315</x:v>
      </x:c>
    </x:row>
    <x:row r="75">
      <x:c r="A75" s="4">
        <x:v>44895</x:v>
      </x:c>
      <x:c r="B75" s="5">
        <x:v>68420</x:v>
      </x:c>
      <x:c r="C75" s="5">
        <x:v>1226</x:v>
      </x:c>
      <x:c r="D75" s="5">
        <x:v>47468</x:v>
      </x:c>
      <x:c r="E75" s="5">
        <x:v>40286</x:v>
      </x:c>
      <x:c r="F75" s="5">
        <x:v>7182</x:v>
      </x:c>
      <x:c r="G75" s="5">
        <x:v>25293</x:v>
      </x:c>
    </x:row>
    <x:row r="76">
      <x:c r="A76" s="4">
        <x:v>44926</x:v>
      </x:c>
      <x:c r="B76" s="5">
        <x:v>71228</x:v>
      </x:c>
      <x:c r="C76" s="5">
        <x:v>512</x:v>
      </x:c>
      <x:c r="D76" s="5">
        <x:v>47566</x:v>
      </x:c>
      <x:c r="E76" s="5">
        <x:v>40384</x:v>
      </x:c>
      <x:c r="F76" s="5">
        <x:v>7182</x:v>
      </x:c>
      <x:c r="G76" s="5">
        <x:v>26110</x:v>
      </x:c>
    </x:row>
    <x:row r="77">
      <x:c r="A77" s="4">
        <x:v>44957</x:v>
      </x:c>
      <x:c r="B77" s="5">
        <x:v>4140</x:v>
      </x:c>
      <x:c r="C77" s="5">
        <x:v>4986</x:v>
      </x:c>
      <x:c r="D77" s="5">
        <x:v>6258</x:v>
      </x:c>
      <x:c r="E77" s="5">
        <x:v>4912</x:v>
      </x:c>
      <x:c r="F77" s="5">
        <x:v>1346</x:v>
      </x:c>
      <x:c r="G77" s="5">
        <x:v>177</x:v>
      </x:c>
    </x:row>
    <x:row r="78">
      <x:c r="A78" s="4">
        <x:v>44985</x:v>
      </x:c>
      <x:c r="B78" s="5">
        <x:v>12278</x:v>
      </x:c>
      <x:c r="C78" s="5">
        <x:v>3842</x:v>
      </x:c>
      <x:c r="D78" s="5">
        <x:v>10677</x:v>
      </x:c>
      <x:c r="E78" s="5">
        <x:v>8269</x:v>
      </x:c>
      <x:c r="F78" s="5">
        <x:v>2408</x:v>
      </x:c>
      <x:c r="G78" s="5">
        <x:v>1519</x:v>
      </x:c>
    </x:row>
    <x:row r="79">
      <x:c r="A79" s="4">
        <x:v>45016</x:v>
      </x:c>
      <x:c r="B79" s="5">
        <x:v>18292</x:v>
      </x:c>
      <x:c r="C79" s="5">
        <x:v>6352</x:v>
      </x:c>
      <x:c r="D79" s="5">
        <x:v>16694</x:v>
      </x:c>
      <x:c r="E79" s="5">
        <x:v>13568</x:v>
      </x:c>
      <x:c r="F79" s="5">
        <x:v>3126</x:v>
      </x:c>
      <x:c r="G79" s="5">
        <x:v>4402</x:v>
      </x:c>
    </x:row>
    <x:row r="80">
      <x:c r="A80" s="4">
        <x:v>45046</x:v>
      </x:c>
      <x:c r="B80" s="5">
        <x:v>22840</x:v>
      </x:c>
      <x:c r="C80" s="5">
        <x:v>4070</x:v>
      </x:c>
      <x:c r="D80" s="5">
        <x:v>19519</x:v>
      </x:c>
      <x:c r="E80" s="5">
        <x:v>16216</x:v>
      </x:c>
      <x:c r="F80" s="5">
        <x:v>3303</x:v>
      </x:c>
      <x:c r="G80" s="5">
        <x:v>8306</x:v>
      </x:c>
    </x:row>
    <x:row r="81">
      <x:c r="A81" s="4">
        <x:v>45077</x:v>
      </x:c>
      <x:c r="B81" s="5">
        <x:v>28411</x:v>
      </x:c>
      <x:c r="C81" s="5">
        <x:v>4154</x:v>
      </x:c>
      <x:c r="D81" s="5">
        <x:v>22538</x:v>
      </x:c>
      <x:c r="E81" s="5">
        <x:v>18970</x:v>
      </x:c>
      <x:c r="F81" s="5">
        <x:v>3568</x:v>
      </x:c>
      <x:c r="G81" s="5">
        <x:v>12841</x:v>
      </x:c>
    </x:row>
    <x:row r="82">
      <x:c r="A82" s="4">
        <x:v>45107</x:v>
      </x:c>
      <x:c r="B82" s="5">
        <x:v>33783</x:v>
      </x:c>
      <x:c r="C82" s="5">
        <x:v>4962</x:v>
      </x:c>
      <x:c r="D82" s="5">
        <x:v>27353</x:v>
      </x:c>
      <x:c r="E82" s="5">
        <x:v>23009</x:v>
      </x:c>
      <x:c r="F82" s="5">
        <x:v>4344</x:v>
      </x:c>
      <x:c r="G82" s="5">
        <x:v>16328</x:v>
      </x:c>
    </x:row>
    <x:row r="83">
      <x:c r="A83" s="4">
        <x:v>45138</x:v>
      </x:c>
      <x:c r="B83" s="5">
        <x:v>37892</x:v>
      </x:c>
      <x:c r="C83" s="5">
        <x:v>3505</x:v>
      </x:c>
      <x:c r="D83" s="5">
        <x:v>29706</x:v>
      </x:c>
      <x:c r="E83" s="5">
        <x:v>24971</x:v>
      </x:c>
      <x:c r="F83" s="5">
        <x:v>4735</x:v>
      </x:c>
      <x:c r="G83" s="5">
        <x:v>20166</x:v>
      </x:c>
    </x:row>
    <x:row r="84">
      <x:c r="A84" s="4">
        <x:v>45169</x:v>
      </x:c>
      <x:c r="B84" s="5">
        <x:v>49651</x:v>
      </x:c>
      <x:c r="C84" s="5">
        <x:v>9819</x:v>
      </x:c>
      <x:c r="D84" s="5">
        <x:v>36849</x:v>
      </x:c>
      <x:c r="E84" s="5">
        <x:v>30978</x:v>
      </x:c>
      <x:c r="F84" s="5">
        <x:v>5871</x:v>
      </x:c>
      <x:c r="G84" s="5">
        <x:v>26183</x:v>
      </x:c>
    </x:row>
    <x:row r="85">
      <x:c r="A85" s="4">
        <x:v>45199</x:v>
      </x:c>
      <x:c r="B85" s="5">
        <x:v>59571</x:v>
      </x:c>
      <x:c r="C85" s="5">
        <x:v>6625</x:v>
      </x:c>
      <x:c r="D85" s="5">
        <x:v>41089</x:v>
      </x:c>
      <x:c r="E85" s="5">
        <x:v>34598</x:v>
      </x:c>
      <x:c r="F85" s="5">
        <x:v>6491</x:v>
      </x:c>
      <x:c r="G85" s="5">
        <x:v>29694</x:v>
      </x:c>
    </x:row>
    <x:row r="86">
      <x:c r="A86" s="4">
        <x:v>45230</x:v>
      </x:c>
      <x:c r="B86" s="5">
        <x:v>75209</x:v>
      </x:c>
      <x:c r="C86" s="5">
        <x:v>5651</x:v>
      </x:c>
      <x:c r="D86" s="5">
        <x:v>43356</x:v>
      </x:c>
      <x:c r="E86" s="5">
        <x:v>36782</x:v>
      </x:c>
      <x:c r="F86" s="5">
        <x:v>6574</x:v>
      </x:c>
      <x:c r="G86" s="5">
        <x:v>41390</x:v>
      </x:c>
    </x:row>
    <x:row r="87">
      <x:c r="A87" s="4">
        <x:v>45260</x:v>
      </x:c>
      <x:c r="B87" s="5">
        <x:v>86721</x:v>
      </x:c>
      <x:c r="C87" s="5">
        <x:v>4571</x:v>
      </x:c>
      <x:c r="D87" s="5">
        <x:v>45465</x:v>
      </x:c>
      <x:c r="E87" s="5">
        <x:v>38634</x:v>
      </x:c>
      <x:c r="F87" s="5">
        <x:v>6831</x:v>
      </x:c>
      <x:c r="G87" s="5">
        <x:v>45953</x:v>
      </x:c>
    </x:row>
    <x:row r="88">
      <x:c r="A88" s="4">
        <x:v>45291</x:v>
      </x:c>
      <x:c r="B88" s="5">
        <x:v>96045</x:v>
      </x:c>
      <x:c r="C88" s="5">
        <x:v>1360</x:v>
      </x:c>
      <x:c r="D88" s="5">
        <x:v>46571</x:v>
      </x:c>
      <x:c r="E88" s="5">
        <x:v>39555</x:v>
      </x:c>
      <x:c r="F88" s="5">
        <x:v>7016</x:v>
      </x:c>
      <x:c r="G88" s="5">
        <x:v>46803</x:v>
      </x:c>
    </x:row>
    <x:row r="89">
      <x:c r="A89" s="4">
        <x:v>45322</x:v>
      </x:c>
      <x:c r="B89" s="5">
        <x:v>2947</x:v>
      </x:c>
      <x:c r="C89" s="5">
        <x:v>1907</x:v>
      </x:c>
      <x:c r="D89" s="5">
        <x:v>1754</x:v>
      </x:c>
      <x:c r="E89" s="5">
        <x:v>568</x:v>
      </x:c>
      <x:c r="F89" s="5">
        <x:v>1186</x:v>
      </x:c>
      <x:c r="G89" s="5">
        <x:v>2091</x:v>
      </x:c>
    </x:row>
    <x:row r="90">
      <x:c r="A90" s="4">
        <x:v>45351</x:v>
      </x:c>
      <x:c r="B90" s="5">
        <x:v>8958</x:v>
      </x:c>
      <x:c r="C90" s="5">
        <x:v>4444</x:v>
      </x:c>
      <x:c r="D90" s="5">
        <x:v>5759</x:v>
      </x:c>
      <x:c r="E90" s="5">
        <x:v>4034</x:v>
      </x:c>
      <x:c r="F90" s="5">
        <x:v>1725</x:v>
      </x:c>
      <x:c r="G90" s="5">
        <x:v>3685</x:v>
      </x:c>
    </x:row>
    <x:row r="91">
      <x:c r="A91" s="4">
        <x:v>45382</x:v>
      </x:c>
      <x:c r="B91" s="5">
        <x:v>13584</x:v>
      </x:c>
      <x:c r="C91" s="5">
        <x:v>4349</x:v>
      </x:c>
      <x:c r="D91" s="5">
        <x:v>8423</x:v>
      </x:c>
      <x:c r="E91" s="5">
        <x:v>6341</x:v>
      </x:c>
      <x:c r="F91" s="5">
        <x:v>2082</x:v>
      </x:c>
      <x:c r="G91" s="5">
        <x:v>7316</x:v>
      </x:c>
    </x:row>
    <x:row r="92">
      <x:c r="A92" s="4">
        <x:v>45412</x:v>
      </x:c>
      <x:c r="B92" s="5">
        <x:v>12600</x:v>
      </x:c>
      <x:c r="C92" s="5">
        <x:v>2104</x:v>
      </x:c>
      <x:c r="D92" s="5">
        <x:v>9708</x:v>
      </x:c>
      <x:c r="E92" s="5">
        <x:v>7224</x:v>
      </x:c>
      <x:c r="F92" s="5">
        <x:v>2484</x:v>
      </x:c>
      <x:c r="G92" s="5">
        <x:v>9470</x:v>
      </x:c>
    </x:row>
    <x:row r="93">
      <x:c r="A93" s="4">
        <x:v>45443</x:v>
      </x:c>
      <x:c r="B93" s="5">
        <x:v>24900</x:v>
      </x:c>
      <x:c r="C93" s="5">
        <x:v>6600</x:v>
      </x:c>
      <x:c r="D93" s="5">
        <x:v>14527</x:v>
      </x:c>
      <x:c r="E93" s="5">
        <x:v>11608</x:v>
      </x:c>
      <x:c r="F93" s="5">
        <x:v>2919</x:v>
      </x:c>
      <x:c r="G93" s="5">
        <x:v>13686</x:v>
      </x:c>
    </x:row>
    <x:row r="94">
      <x:c r="A94" s="4">
        <x:v>45473</x:v>
      </x:c>
      <x:c r="B94" s="5">
        <x:v>33390</x:v>
      </x:c>
      <x:c r="C94" s="5">
        <x:v>5082</x:v>
      </x:c>
      <x:c r="D94" s="5">
        <x:v>18259</x:v>
      </x:c>
      <x:c r="E94" s="5">
        <x:v>14935</x:v>
      </x:c>
      <x:c r="F94" s="5">
        <x:v>3324</x:v>
      </x:c>
      <x:c r="G94" s="5">
        <x:v>16669</x:v>
      </x:c>
    </x:row>
    <x:row r="95">
      <x:c r="A95" s="4">
        <x:v>45504</x:v>
      </x:c>
      <x:c r="B95" s="5">
        <x:v>40300</x:v>
      </x:c>
      <x:c r="C95" s="5">
        <x:v>4943</x:v>
      </x:c>
      <x:c r="D95" s="5">
        <x:v>21459</x:v>
      </x:c>
      <x:c r="E95" s="5">
        <x:v>17749</x:v>
      </x:c>
      <x:c r="F95" s="5">
        <x:v>3710</x:v>
      </x:c>
      <x:c r="G95" s="5">
        <x:v>20577</x:v>
      </x:c>
    </x:row>
    <x:row r="96">
      <x:c r="A96" s="4">
        <x:v>45535</x:v>
      </x:c>
      <x:c r="B96" s="5">
        <x:v>56400</x:v>
      </x:c>
      <x:c r="C96" s="5">
        <x:v>9558</x:v>
      </x:c>
      <x:c r="D96" s="5">
        <x:v>30933</x:v>
      </x:c>
      <x:c r="E96" s="5">
        <x:v>25800</x:v>
      </x:c>
      <x:c r="F96" s="5">
        <x:v>5133</x:v>
      </x:c>
      <x:c r="G96" s="5">
        <x:v>23195</x:v>
      </x:c>
    </x:row>
    <x:row r="97">
      <x:c r="A97" s="4">
        <x:v>45565</x:v>
      </x:c>
      <x:c r="B97" s="5">
        <x:v>71805</x:v>
      </x:c>
      <x:c r="C97" s="5">
        <x:v>11219</x:v>
      </x:c>
      <x:c r="D97" s="5">
        <x:v>42303</x:v>
      </x:c>
      <x:c r="E97" s="5">
        <x:v>36129</x:v>
      </x:c>
      <x:c r="F97" s="5">
        <x:v>6174</x:v>
      </x:c>
      <x:c r="G97" s="5">
        <x:v>24718</x:v>
      </x:c>
    </x:row>
    <x:row r="98">
      <x:c r="A98" s="4">
        <x:v>45596</x:v>
      </x:c>
      <x:c r="B98" s="5">
        <x:v>82300</x:v>
      </x:c>
      <x:c r="C98" s="5">
        <x:v>4659</x:v>
      </x:c>
      <x:c r="D98" s="5">
        <x:v>45689</x:v>
      </x:c>
      <x:c r="E98" s="5">
        <x:v>39121</x:v>
      </x:c>
      <x:c r="F98" s="5">
        <x:v>6568</x:v>
      </x:c>
      <x:c r="G98" s="5">
        <x:v>28193</x:v>
      </x:c>
    </x:row>
    <x:row r="99">
      <x:c r="A99" s="4">
        <x:v>45626</x:v>
      </x:c>
      <x:c r="B99" s="5">
        <x:v>95389</x:v>
      </x:c>
      <x:c r="C99" s="5">
        <x:v>12307</x:v>
      </x:c>
      <x:c r="D99" s="5">
        <x:v>46740</x:v>
      </x:c>
      <x:c r="E99" s="5">
        <x:v>39977</x:v>
      </x:c>
      <x:c r="F99" s="5">
        <x:v>6763</x:v>
      </x:c>
      <x:c r="G99" s="5">
        <x:v>40283</x:v>
      </x:c>
    </x:row>
    <x:row r="100">
      <x:c r="A100" s="4">
        <x:v>45657</x:v>
      </x:c>
      <x:c r="B100" s="5">
        <x:v>112955</x:v>
      </x:c>
      <x:c r="C100" s="5">
        <x:v>10090</x:v>
      </x:c>
      <x:c r="D100" s="5">
        <x:v>47193</x:v>
      </x:c>
      <x:c r="E100" s="5">
        <x:v>40188</x:v>
      </x:c>
      <x:c r="F100" s="5">
        <x:v>7005</x:v>
      </x:c>
      <x:c r="G100" s="5">
        <x:v>50743</x:v>
      </x:c>
    </x:row>
    <x:row r="101">
      <x:c r="A101" s="4">
        <x:v>45688</x:v>
      </x:c>
      <x:c r="B101" s="5">
        <x:v>6933</x:v>
      </x:c>
      <x:c r="C101" s="5">
        <x:v>4397</x:v>
      </x:c>
      <x:c r="D101" s="5">
        <x:v>3053</x:v>
      </x:c>
      <x:c r="E101" s="5">
        <x:v>2048</x:v>
      </x:c>
      <x:c r="F101" s="5">
        <x:v>1005</x:v>
      </x:c>
      <x:c r="G101" s="5">
        <x:v>2522</x:v>
      </x:c>
    </x:row>
    <x:row r="102">
      <x:c r="A102" s="4">
        <x:v>45716</x:v>
      </x:c>
      <x:c r="B102" s="5">
        <x:v>23872</x:v>
      </x:c>
      <x:c r="C102" s="5">
        <x:v>11881</x:v>
      </x:c>
      <x:c r="D102" s="5">
        <x:v>8019</x:v>
      </x:c>
      <x:c r="E102" s="5">
        <x:v>5968</x:v>
      </x:c>
      <x:c r="F102" s="5">
        <x:v>2051</x:v>
      </x:c>
      <x:c r="G102" s="5">
        <x:v>10614</x:v>
      </x:c>
    </x:row>
    <x:row r="103">
      <x:c r="A103" s="4">
        <x:v>45747</x:v>
      </x:c>
      <x:c r="B103" s="5">
        <x:v>38738</x:v>
      </x:c>
      <x:c r="C103" s="5">
        <x:v>8040</x:v>
      </x:c>
      <x:c r="D103" s="5">
        <x:v>12394</x:v>
      </x:c>
      <x:c r="E103" s="5">
        <x:v>9603</x:v>
      </x:c>
      <x:c r="F103" s="5">
        <x:v>2791</x:v>
      </x:c>
      <x:c r="G103" s="5">
        <x:v>16027</x:v>
      </x:c>
    </x:row>
    <x:row r="104">
      <x:c r="A104" s="4">
        <x:v>45777</x:v>
      </x:c>
      <x:c r="B104" s="5">
        <x:v>48467</x:v>
      </x:c>
      <x:c r="C104" s="5">
        <x:v>5526</x:v>
      </x:c>
      <x:c r="D104" s="5">
        <x:v>14927</x:v>
      </x:c>
      <x:c r="E104" s="5">
        <x:v>11904</x:v>
      </x:c>
      <x:c r="F104" s="5">
        <x:v>3023</x:v>
      </x:c>
      <x:c r="G104" s="5">
        <x:v>20427</x:v>
      </x:c>
    </x:row>
    <x:row r="105">
      <x:c r="A105" s="4">
        <x:v>45808</x:v>
      </x:c>
      <x:c r="B105" s="5">
        <x:v>63052</x:v>
      </x:c>
      <x:c r="C105" s="5">
        <x:v>5195</x:v>
      </x:c>
      <x:c r="D105" s="5">
        <x:v>19846</x:v>
      </x:c>
      <x:c r="E105" s="5">
        <x:v>16336</x:v>
      </x:c>
      <x:c r="F105" s="5">
        <x:v>3510</x:v>
      </x:c>
      <x:c r="G105" s="5">
        <x:v>23302</x:v>
      </x:c>
    </x:row>
    <x:row r="106">
      <x:c r="A106" s="4">
        <x:v>45838</x:v>
      </x:c>
      <x:c r="B106" s="5">
        <x:v>76560</x:v>
      </x:c>
      <x:c r="C106" s="5">
        <x:v>8069</x:v>
      </x:c>
      <x:c r="D106" s="5">
        <x:v>26127</x:v>
      </x:c>
      <x:c r="E106" s="5">
        <x:v>21607</x:v>
      </x:c>
      <x:c r="F106" s="5">
        <x:v>4520</x:v>
      </x:c>
      <x:c r="G106" s="5">
        <x:v>28775</x:v>
      </x:c>
    </x:row>
    <x:row r="107">
      <x:c r="A107" s="4">
        <x:v>45869</x:v>
      </x:c>
      <x:c r="B107" s="5">
        <x:v>89042</x:v>
      </x:c>
      <x:c r="C107" s="5">
        <x:v>8686</x:v>
      </x:c>
      <x:c r="D107" s="5">
        <x:v>33159</x:v>
      </x:c>
      <x:c r="E107" s="5">
        <x:v>27776</x:v>
      </x:c>
      <x:c r="F107" s="5">
        <x:v>5383</x:v>
      </x:c>
      <x:c r="G107" s="5">
        <x:v>33877</x:v>
      </x:c>
    </x:row>
    <x:row r="108">
      <x:c r="A108" s="4">
        <x:v>45900</x:v>
      </x:c>
      <x:c r="B108" s="5">
        <x:v>102714</x:v>
      </x:c>
      <x:c r="C108" s="5">
        <x:v>6745</x:v>
      </x:c>
      <x:c r="D108" s="5">
        <x:v>38874</x:v>
      </x:c>
      <x:c r="E108" s="5">
        <x:v>32666</x:v>
      </x:c>
      <x:c r="F108" s="5">
        <x:v>6208</x:v>
      </x:c>
      <x:c r="G108" s="5">
        <x:v>37964</x:v>
      </x:c>
    </x:row>
    <x:row r="109">
      <x:c r="A109" s="4">
        <x:v>45930</x:v>
      </x:c>
      <x:c r="B109" s="5">
        <x:v>114607</x:v>
      </x:c>
      <x:c r="C109" s="5">
        <x:v>6359</x:v>
      </x:c>
      <x:c r="D109" s="5">
        <x:v>43615</x:v>
      </x:c>
      <x:c r="E109" s="5">
        <x:v>36857</x:v>
      </x:c>
      <x:c r="F109" s="5">
        <x:v>6758</x:v>
      </x:c>
      <x:c r="G109" s="5">
        <x:v>41842</x:v>
      </x:c>
    </x:row>
    <x:row r="110">
      <x:c r="A110" s="4">
        <x:v>45961</x:v>
      </x:c>
      <x:c r="B110" s="5">
        <x:v>119459</x:v>
      </x:c>
      <x:c r="C110" s="5">
        <x:v>3945</x:v>
      </x:c>
      <x:c r="D110" s="5">
        <x:v>46746</x:v>
      </x:c>
      <x:c r="E110" s="5">
        <x:v>39806</x:v>
      </x:c>
      <x:c r="F110" s="5">
        <x:v>6940</x:v>
      </x:c>
      <x:c r="G110" s="5">
        <x:v>44391</x:v>
      </x:c>
    </x:row>
    <x:row r="111">
      <x:c r="A111" s="4">
        <x:v>45991</x:v>
      </x:c>
      <x:c r="B111" s="5">
        <x:v>131536</x:v>
      </x:c>
      <x:c r="C111" s="5">
        <x:v>6365</x:v>
      </x:c>
      <x:c r="D111" s="5">
        <x:v>52085</x:v>
      </x:c>
      <x:c r="E111" s="5">
        <x:v>44728</x:v>
      </x:c>
      <x:c r="F111" s="5">
        <x:v>7357</x:v>
      </x:c>
      <x:c r="G111" s="5">
        <x:v>48179</x:v>
      </x:c>
    </x:row>
    <x:row r="112">
      <x:c r="A112" s="4">
        <x:v>46022</x:v>
      </x:c>
      <x:c r="B112" s="5">
        <x:v>138368</x:v>
      </x:c>
      <x:c r="C112" s="5">
        <x:v>1729</x:v>
      </x:c>
      <x:c r="D112" s="5">
        <x:v>53817</x:v>
      </x:c>
      <x:c r="E112" s="5">
        <x:v>46077</x:v>
      </x:c>
      <x:c r="F112" s="5">
        <x:v>7740</x:v>
      </x:c>
      <x:c r="G112" s="5">
        <x:v>49284</x:v>
      </x:c>
    </x:row>
    <x:row r="113">
      <x:c r="A113" s="4">
        <x:v>46053</x:v>
      </x:c>
      <x:c r="B113" s="5">
        <x:v>9764</x:v>
      </x:c>
      <x:c r="C113" s="5">
        <x:v>6759</x:v>
      </x:c>
      <x:c r="D113" s="5">
        <x:v>4285</x:v>
      </x:c>
      <x:c r="E113" s="5">
        <x:v>3677</x:v>
      </x:c>
      <x:c r="F113" s="5">
        <x:v>608</x:v>
      </x:c>
      <x:c r="G113" s="5">
        <x:v>4349</x:v>
      </x:c>
    </x:row>
    <x:row r="114">
      <x:c r="A114" s="4">
        <x:v>46081</x:v>
      </x:c>
      <x:c r="B114" s="5">
        <x:v>23778</x:v>
      </x:c>
      <x:c r="C114" s="5">
        <x:v>9223</x:v>
      </x:c>
      <x:c r="D114" s="5">
        <x:v>10346</x:v>
      </x:c>
      <x:c r="E114" s="5">
        <x:v>8242</x:v>
      </x:c>
      <x:c r="F114" s="5">
        <x:v>2104</x:v>
      </x:c>
      <x:c r="G114" s="5">
        <x:v>9870</x:v>
      </x:c>
    </x:row>
    <x:row r="115">
      <x:c r="A115" s="4">
        <x:v>46112</x:v>
      </x:c>
      <x:c r="B115" s="5">
        <x:v>35435</x:v>
      </x:c>
      <x:c r="C115" s="5">
        <x:v>7728</x:v>
      </x:c>
      <x:c r="D115" s="5">
        <x:v>14199</x:v>
      </x:c>
      <x:c r="E115" s="5">
        <x:v>11599</x:v>
      </x:c>
      <x:c r="F115" s="5">
        <x:v>2600</x:v>
      </x:c>
      <x:c r="G115" s="5">
        <x:v>16860</x:v>
      </x:c>
    </x:row>
    <x:row r="116">
      <x:c r="A116" s="4">
        <x:v>46142</x:v>
      </x:c>
      <x:c r="B116" s="5">
        <x:v>44476</x:v>
      </x:c>
      <x:c r="C116" s="5">
        <x:v>5250</x:v>
      </x:c>
      <x:c r="D116" s="5">
        <x:v>16485</x:v>
      </x:c>
      <x:c r="E116" s="5">
        <x:v>13343</x:v>
      </x:c>
      <x:c r="F116" s="5">
        <x:v>3142</x:v>
      </x:c>
      <x:c r="G116" s="5">
        <x:v>22687</x:v>
      </x:c>
    </x:row>
    <x:row r="117">
      <x:c r="A117" s="4">
        <x:v>46173</x:v>
      </x:c>
      <x:c r="B117" s="5">
        <x:v>56712</x:v>
      </x:c>
      <x:c r="C117" s="5">
        <x:v>5479</x:v>
      </x:c>
      <x:c r="D117" s="5">
        <x:v>18347</x:v>
      </x:c>
      <x:c r="E117" s="5">
        <x:v>14951</x:v>
      </x:c>
      <x:c r="F117" s="5">
        <x:v>3396</x:v>
      </x:c>
      <x:c r="G117" s="5">
        <x:v>28872</x:v>
      </x:c>
    </x:row>
    <x:row r="118">
      <x:c r="A118" s="4">
        <x:v>46203</x:v>
      </x:c>
      <x:c r="B118" s="5">
        <x:v>64395</x:v>
      </x:c>
      <x:c r="C118" s="5">
        <x:v>9257</x:v>
      </x:c>
      <x:c r="D118" s="5">
        <x:v>24475</x:v>
      </x:c>
      <x:c r="E118" s="5">
        <x:v>20667</x:v>
      </x:c>
      <x:c r="F118" s="5">
        <x:v>3808</x:v>
      </x:c>
      <x:c r="G118" s="5">
        <x:v>34231</x:v>
      </x:c>
    </x:row>
  </x:sheetData>
  <x:pageMargins left="0.7" right="0.7" top="0.75" bottom="0.75" header="0.3" footer="0.3"/>
  <x:legacyDrawing xmlns:r="http://schemas.openxmlformats.org/officeDocument/2006/relationships" r:id="Rc11744bab1cd4a32"/>
</x:worksheet>
</file>

<file path=xl/worksheets/sheet5.xml><?xml version="1.0" encoding="utf-8"?>
<x:worksheet xmlns:x="http://schemas.openxmlformats.org/spreadsheetml/2006/main">
  <x:sheetFormatPr baseColWidth="10" defaultColWidth="9" defaultRowHeight="16"/>
  <x:cols>
    <x:col min="1" max="1" width="9.6640625" customWidth="1"/>
    <x:col min="2" max="3" width="36.1640625" customWidth="1"/>
    <x:col min="4" max="4" width="42.6640625" customWidth="1"/>
    <x:col min="5" max="5" width="31" customWidth="1"/>
    <x:col min="6" max="6" width="42" customWidth="1"/>
    <x:col min="7" max="10" width="36.33203125" customWidth="1"/>
    <x:col min="11" max="11" width="59.5" customWidth="1"/>
    <x:col min="12" max="12" width="11" customWidth="1"/>
  </x:cols>
  <x:sheetData>
    <x:row r="1">
      <x:c r="A1" s="22" t="e">
        <x:f>[1]!edb()</x:f>
        <x:v>#NAME?</x:v>
      </x:c>
      <x:c r="G1" s="20" t="s">
        <x:v>53</x:v>
      </x:c>
    </x:row>
    <x:row r="2">
      <x:c r="A2" s="5" t="s">
        <x:v>0</x:v>
      </x:c>
      <x:c r="B2" t="s">
        <x:v>54</x:v>
      </x:c>
      <x:c r="C2" t="s">
        <x:v>55</x:v>
      </x:c>
      <x:c r="D2" t="s">
        <x:v>56</x:v>
      </x:c>
      <x:c r="E2" t="s">
        <x:v>57</x:v>
      </x:c>
      <x:c r="F2" s="25" t="s">
        <x:v>58</x:v>
      </x:c>
      <x:c r="G2" t="s">
        <x:v>59</x:v>
      </x:c>
      <x:c r="H2" s="1" t="s">
        <x:v>60</x:v>
      </x:c>
      <x:c r="I2" s="23" t="s">
        <x:v>61</x:v>
      </x:c>
      <x:c r="J2" s="24" t="s">
        <x:v>62</x:v>
      </x:c>
    </x:row>
    <x:row r="3">
      <x:c r="A3" s="5" t="s">
        <x:v>14</x:v>
      </x:c>
      <x:c r="B3" t="s">
        <x:v>16</x:v>
      </x:c>
      <x:c r="C3" t="s">
        <x:v>15</x:v>
      </x:c>
      <x:c r="D3" t="s">
        <x:v>15</x:v>
      </x:c>
      <x:c r="E3" t="s">
        <x:v>15</x:v>
      </x:c>
      <x:c r="F3" t="s">
        <x:v>15</x:v>
      </x:c>
      <x:c r="G3" t="s">
        <x:v>15</x:v>
      </x:c>
      <x:c r="H3" t="s">
        <x:v>15</x:v>
      </x:c>
      <x:c r="I3" t="s">
        <x:v>15</x:v>
      </x:c>
      <x:c r="J3" t="s">
        <x:v>15</x:v>
      </x:c>
    </x:row>
    <x:row r="4">
      <x:c r="A4" s="5" t="s">
        <x:v>17</x:v>
      </x:c>
      <x:c r="B4" t="s">
        <x:v>63</x:v>
      </x:c>
      <x:c r="C4" t="s">
        <x:v>64</x:v>
      </x:c>
      <x:c r="D4" t="s">
        <x:v>65</x:v>
      </x:c>
      <x:c r="E4" t="s">
        <x:v>66</x:v>
      </x:c>
      <x:c r="F4" t="s">
        <x:v>67</x:v>
      </x:c>
      <x:c r="G4" t="s">
        <x:v>68</x:v>
      </x:c>
    </x:row>
    <x:row r="5">
      <x:c r="A5" s="21">
        <x:v>43830</x:v>
      </x:c>
      <x:c r="B5" s="5">
        <x:v>2.8</x:v>
      </x:c>
      <x:c r="C5" s="5">
        <x:v>9300</x:v>
      </x:c>
      <x:c r="D5" s="5">
        <x:v>18300</x:v>
      </x:c>
      <x:c r="E5" s="5">
        <x:v>21500</x:v>
      </x:c>
      <x:c r="F5" s="5">
        <x:v>0</x:v>
      </x:c>
      <x:c r="G5" s="19">
        <x:v>0</x:v>
      </x:c>
      <x:c r="H5" s="26">
        <x:v>235244</x:v>
      </x:c>
      <x:c r="I5" s="26">
        <x:v>192500</x:v>
      </x:c>
      <x:c r="J5" s="27" t="n">
        <x:f>(C5+D5)/(B5/100)</x:f>
        <x:v>985714.2857142858</x:v>
      </x:c>
      <x:c r="K5" t="s">
        <x:v>69</x:v>
      </x:c>
    </x:row>
    <x:row r="6">
      <x:c r="A6" s="21">
        <x:v>44196</x:v>
      </x:c>
      <x:c r="B6" s="5">
        <x:v>3.6</x:v>
      </x:c>
      <x:c r="C6" s="5">
        <x:v>9800</x:v>
      </x:c>
      <x:c r="D6" s="5">
        <x:v>27800</x:v>
      </x:c>
      <x:c r="E6" s="5">
        <x:v>37500</x:v>
      </x:c>
      <x:c r="F6" s="5">
        <x:v>0</x:v>
      </x:c>
      <x:c r="G6" s="19">
        <x:v>0</x:v>
      </x:c>
      <x:c r="H6" s="26">
        <x:v>247850</x:v>
      </x:c>
      <x:c r="I6" s="26">
        <x:v>180270</x:v>
      </x:c>
      <x:c r="J6" s="27" t="n">
        <x:f t="shared" ref="J6:J12" si="0">(C6+D6)/(B6/100)</x:f>
        <x:v>1044444.4444444444</x:v>
      </x:c>
      <x:c r="K6" t="s">
        <x:v>70</x:v>
      </x:c>
    </x:row>
    <x:row r="7">
      <x:c r="A7" s="21">
        <x:v>44561</x:v>
      </x:c>
      <x:c r="B7" s="5">
        <x:v>3.2</x:v>
      </x:c>
      <x:c r="C7" s="5">
        <x:v>8200</x:v>
      </x:c>
      <x:c r="D7" s="5">
        <x:v>27500</x:v>
      </x:c>
      <x:c r="E7" s="5">
        <x:v>36500</x:v>
      </x:c>
      <x:c r="F7" s="5">
        <x:v>0</x:v>
      </x:c>
      <x:c r="G7" s="19">
        <x:v>0</x:v>
      </x:c>
      <x:c r="H7" s="26">
        <x:v>250120</x:v>
      </x:c>
      <x:c r="I7" s="26">
        <x:v>197650</x:v>
      </x:c>
      <x:c r="J7" s="27">
        <x:f t="shared" si="0"/>
        <x:v>1115625</x:v>
      </x:c>
      <x:c r="K7" t="s">
        <x:v>71</x:v>
      </x:c>
    </x:row>
    <x:row r="8">
      <x:c r="A8" s="21">
        <x:v>44926</x:v>
      </x:c>
      <x:c r="B8" s="5">
        <x:v>2.8</x:v>
      </x:c>
      <x:c r="C8" s="5">
        <x:v>7200</x:v>
      </x:c>
      <x:c r="D8" s="5">
        <x:v>26500</x:v>
      </x:c>
      <x:c r="E8" s="5">
        <x:v>36500</x:v>
      </x:c>
      <x:c r="F8" s="5">
        <x:v>0</x:v>
      </x:c>
      <x:c r="G8" s="19">
        <x:v>0</x:v>
      </x:c>
      <x:c r="H8" s="26">
        <x:v>267125</x:v>
      </x:c>
      <x:c r="I8" s="26">
        <x:v>210140</x:v>
      </x:c>
      <x:c r="J8" s="27">
        <x:f t="shared" si="0"/>
        <x:v>1203571.4285714286</x:v>
      </x:c>
      <x:c r="K8" t="s">
        <x:v>72</x:v>
      </x:c>
    </x:row>
    <x:row r="9">
      <x:c r="A9" s="21">
        <x:v>45291</x:v>
      </x:c>
      <x:c r="B9" s="5">
        <x:v>3</x:v>
      </x:c>
      <x:c r="C9" s="5">
        <x:v>7200</x:v>
      </x:c>
      <x:c r="D9" s="5">
        <x:v>31600</x:v>
      </x:c>
      <x:c r="E9" s="5">
        <x:v>38000</x:v>
      </x:c>
      <x:c r="F9" s="5">
        <x:v>0</x:v>
      </x:c>
      <x:c r="G9" s="19">
        <x:v>0</x:v>
      </x:c>
      <x:c r="H9" s="26">
        <x:v>275130</x:v>
      </x:c>
      <x:c r="I9" s="26">
        <x:v>217300</x:v>
      </x:c>
      <x:c r="J9" s="27">
        <x:f t="shared" si="0"/>
        <x:v>1293333.3333333335</x:v>
      </x:c>
      <x:c r="K9" t="s">
        <x:v>73</x:v>
      </x:c>
    </x:row>
    <x:row r="10">
      <x:c r="A10" s="21">
        <x:v>45657</x:v>
      </x:c>
      <x:c r="B10" s="5">
        <x:v>3</x:v>
      </x:c>
      <x:c r="C10" s="5">
        <x:v>7200</x:v>
      </x:c>
      <x:c r="D10" s="5">
        <x:v>33400</x:v>
      </x:c>
      <x:c r="E10" s="5">
        <x:v>39000</x:v>
      </x:c>
      <x:c r="F10" s="5">
        <x:v>10000</x:v>
      </x:c>
      <x:c r="G10" s="19">
        <x:v>0</x:v>
      </x:c>
      <x:c r="H10" s="26">
        <x:v>285490</x:v>
      </x:c>
      <x:c r="I10" s="26">
        <x:v>223950</x:v>
      </x:c>
      <x:c r="J10" s="27">
        <x:f t="shared" si="0"/>
        <x:v>1353333.3333333335</x:v>
      </x:c>
      <x:c r="K10" t="s">
        <x:v>74</x:v>
      </x:c>
    </x:row>
    <x:row r="11">
      <x:c r="A11" s="21">
        <x:v>46022</x:v>
      </x:c>
      <x:c r="B11" s="5">
        <x:v>4</x:v>
      </x:c>
      <x:c r="C11" s="5">
        <x:v>8000</x:v>
      </x:c>
      <x:c r="D11" s="5">
        <x:v>48600</x:v>
      </x:c>
      <x:c r="E11" s="5">
        <x:v>44000</x:v>
      </x:c>
      <x:c r="F11" s="5">
        <x:v>13000</x:v>
      </x:c>
      <x:c r="G11" s="19">
        <x:v>5000</x:v>
      </x:c>
      <x:c r="H11" s="26">
        <x:v>297005</x:v>
      </x:c>
      <x:c r="I11" s="26">
        <x:v>219850</x:v>
      </x:c>
      <x:c r="J11" s="27">
        <x:f t="shared" si="0"/>
        <x:v>1415000</x:v>
      </x:c>
      <x:c r="K11" t="s">
        <x:v>75</x:v>
      </x:c>
    </x:row>
    <x:row r="12">
      <x:c r="A12" s="21">
        <x:v>46387</x:v>
      </x:c>
      <x:c r="B12" s="5">
        <x:v>4</x:v>
      </x:c>
      <x:c r="C12" s="5">
        <x:v>8000</x:v>
      </x:c>
      <x:c r="D12" s="5">
        <x:v>50900</x:v>
      </x:c>
      <x:c r="E12" s="5">
        <x:v>44000</x:v>
      </x:c>
      <x:c r="F12" s="5">
        <x:v>13000</x:v>
      </x:c>
      <x:c r="G12" s="19">
        <x:v>3000</x:v>
      </x:c>
      <x:c r="H12" s="26">
        <x:v>300100</x:v>
      </x:c>
      <x:c r="I12" s="26">
        <x:v>220700</x:v>
      </x:c>
      <x:c r="J12" s="27">
        <x:f t="shared" si="0"/>
        <x:v>1472500</x:v>
      </x:c>
      <x:c r="K12" s="2" t="s">
        <x:v>76</x:v>
      </x:c>
    </x:row>
  </x:sheetData>
  <x:pageMargins left="0.7" right="0.7" top="0.75" bottom="0.75" header="0.3" footer="0.3"/>
  <x:legacyDrawing xmlns:r="http://schemas.openxmlformats.org/officeDocument/2006/relationships" r:id="Rc032c4bce21f4ed7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20" hidden="0" customWidth="1"/>
    <x:col min="12" max="12" width="22" hidden="0" customWidth="1"/>
  </x:cols>
  <x:sheetData>
    <x:row r="1" ht="24" customHeight="1">
      <x:c r="A1" s="77" t="str">
        <x:v>01 预算口径脉冲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</x:row>
    <x:row r="2" ht="34" customHeight="1">
      <x:c r="A2" s="82" t="str">
        <x:v>计算口径：广义财政安排 = 中央赤字 + 地方赤字 + 新增专项债 + 特别国债；预算口径脉冲 = 本年广义财政安排占名义GDP预算基数比重 − 上年比重。2021仅作为2022脉冲的基期，HTML实际展示2022—2026；右侧 Excel 图仅用于核查数值，网页以“脉冲柱 + 广义安排占GDP虚线”双轴样式为准。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4" ht="30" customHeight="1">
      <x:c r="A4" s="89" t="str">
        <x:v>年份</x:v>
      </x:c>
      <x:c r="B4" s="89" t="str">
        <x:v>广义安排占GDP (%)</x:v>
      </x:c>
      <x:c r="C4" s="89" t="str">
        <x:v>预算口径脉冲 (pp)</x:v>
      </x:c>
      <x:c r="D4" s="89" t="str">
        <x:v>地方赤字 (亿元)</x:v>
      </x:c>
      <x:c r="E4" s="89" t="str">
        <x:v>中央赤字 (亿元)</x:v>
      </x:c>
      <x:c r="F4" s="89" t="str">
        <x:v>赤字合计 (亿元)</x:v>
      </x:c>
      <x:c r="G4" s="89" t="str">
        <x:v>新增专项债 (亿元)</x:v>
      </x:c>
      <x:c r="H4" s="89" t="str">
        <x:v>超长期特别国债 (亿元)</x:v>
      </x:c>
      <x:c r="I4" s="89" t="str">
        <x:v>其他特别国债 (亿元)</x:v>
      </x:c>
      <x:c r="J4" s="89" t="str">
        <x:v>特别国债合计 (亿元)</x:v>
      </x:c>
      <x:c r="K4" s="89" t="str">
        <x:v>广义财政安排 (亿元)</x:v>
      </x:c>
      <x:c r="L4" s="89" t="str">
        <x:v>名义GDP预算基数 (亿元)</x:v>
      </x:c>
    </x:row>
    <x:row r="5">
      <x:c r="A5" s="160" t="n">
        <x:v>2021</x:v>
      </x:c>
      <x:c r="B5" s="99" t="n">
        <x:f>IF(L5="","",K5/L5*100)</x:f>
        <x:v>6.47170868347339</x:v>
      </x:c>
      <x:c r="C5" s="99" t="str">
        <x:f>""</x:f>
      </x:c>
      <x:c r="D5" s="101" t="n">
        <x:f>IFERROR(INDEX(Sheet5!$C$5:$C$50,MATCH(DATE($A5,12,31),Sheet5!$A$5:$A$50,0)),"")</x:f>
        <x:v>8200</x:v>
      </x:c>
      <x:c r="E5" s="101" t="n">
        <x:f>IFERROR(INDEX(Sheet5!$D$5:$D$50,MATCH(DATE($A5,12,31),Sheet5!$A$5:$A$50,0)),"")</x:f>
        <x:v>27500</x:v>
      </x:c>
      <x:c r="F5" s="102" t="n">
        <x:f>SUM(D5:E5)</x:f>
        <x:v>35700</x:v>
      </x:c>
      <x:c r="G5" s="101" t="n">
        <x:f>IFERROR(INDEX(Sheet5!$E$5:$E$50,MATCH(DATE($A5,12,31),Sheet5!$A$5:$A$50,0)),"")</x:f>
        <x:v>36500</x:v>
      </x:c>
      <x:c r="H5" s="101" t="n">
        <x:f>IFERROR(INDEX(Sheet5!$F$5:$F$50,MATCH(DATE($A5,12,31),Sheet5!$A$5:$A$50,0)),"")</x:f>
        <x:v>0</x:v>
      </x:c>
      <x:c r="I5" s="101" t="n">
        <x:f>IFERROR(INDEX(Sheet5!$G$5:$G$50,MATCH(DATE($A5,12,31),Sheet5!$A$5:$A$50,0)),"")</x:f>
        <x:v>0</x:v>
      </x:c>
      <x:c r="J5" s="102" t="n">
        <x:f>SUM(H5:I5)</x:f>
        <x:v>0</x:v>
      </x:c>
      <x:c r="K5" s="102" t="n">
        <x:f>SUM(F5,G5,J5)</x:f>
        <x:v>72200</x:v>
      </x:c>
      <x:c r="L5" s="101" t="n">
        <x:f>IFERROR(INDEX(Sheet5!$J$5:$J$50,MATCH(DATE($A5,12,31),Sheet5!$A$5:$A$50,0)),"")</x:f>
        <x:v>1115625</x:v>
      </x:c>
    </x:row>
    <x:row r="6">
      <x:c r="A6" s="160" t="n">
        <x:v>2022</x:v>
      </x:c>
      <x:c r="B6" s="99" t="n">
        <x:f>IF(L6="","",K6/L6*100)</x:f>
        <x:v>5.832640949554896</x:v>
      </x:c>
      <x:c r="C6" s="99" t="n">
        <x:f>IF(OR(B6="",B5=""),"",B6-B5)</x:f>
        <x:v>-0.6390677339184947</x:v>
      </x:c>
      <x:c r="D6" s="101" t="n">
        <x:f>IFERROR(INDEX(Sheet5!$C$5:$C$50,MATCH(DATE($A6,12,31),Sheet5!$A$5:$A$50,0)),"")</x:f>
        <x:v>7200</x:v>
      </x:c>
      <x:c r="E6" s="101" t="n">
        <x:f>IFERROR(INDEX(Sheet5!$D$5:$D$50,MATCH(DATE($A6,12,31),Sheet5!$A$5:$A$50,0)),"")</x:f>
        <x:v>26500</x:v>
      </x:c>
      <x:c r="F6" s="102" t="n">
        <x:f>SUM(D6:E6)</x:f>
        <x:v>33700</x:v>
      </x:c>
      <x:c r="G6" s="101" t="n">
        <x:f>IFERROR(INDEX(Sheet5!$E$5:$E$50,MATCH(DATE($A6,12,31),Sheet5!$A$5:$A$50,0)),"")</x:f>
        <x:v>36500</x:v>
      </x:c>
      <x:c r="H6" s="101" t="n">
        <x:f>IFERROR(INDEX(Sheet5!$F$5:$F$50,MATCH(DATE($A6,12,31),Sheet5!$A$5:$A$50,0)),"")</x:f>
        <x:v>0</x:v>
      </x:c>
      <x:c r="I6" s="101" t="n">
        <x:f>IFERROR(INDEX(Sheet5!$G$5:$G$50,MATCH(DATE($A6,12,31),Sheet5!$A$5:$A$50,0)),"")</x:f>
        <x:v>0</x:v>
      </x:c>
      <x:c r="J6" s="102" t="n">
        <x:f>SUM(H6:I6)</x:f>
        <x:v>0</x:v>
      </x:c>
      <x:c r="K6" s="102" t="n">
        <x:f>SUM(F6,G6,J6)</x:f>
        <x:v>70200</x:v>
      </x:c>
      <x:c r="L6" s="101" t="n">
        <x:f>IFERROR(INDEX(Sheet5!$J$5:$J$50,MATCH(DATE($A6,12,31),Sheet5!$A$5:$A$50,0)),"")</x:f>
        <x:v>1203571.4285714235</x:v>
      </x:c>
    </x:row>
    <x:row r="7">
      <x:c r="A7" s="160" t="n">
        <x:v>2023</x:v>
      </x:c>
      <x:c r="B7" s="99" t="n">
        <x:f>IF(L7="","",K7/L7*100)</x:f>
        <x:v>5.9381443298969065</x:v>
      </x:c>
      <x:c r="C7" s="99" t="n">
        <x:f>IF(OR(B7="",B6=""),"",B7-B6)</x:f>
        <x:v>0.1055033803420109</x:v>
      </x:c>
      <x:c r="D7" s="101" t="n">
        <x:f>IFERROR(INDEX(Sheet5!$C$5:$C$50,MATCH(DATE($A7,12,31),Sheet5!$A$5:$A$50,0)),"")</x:f>
        <x:v>7200</x:v>
      </x:c>
      <x:c r="E7" s="101" t="n">
        <x:f>IFERROR(INDEX(Sheet5!$D$5:$D$50,MATCH(DATE($A7,12,31),Sheet5!$A$5:$A$50,0)),"")</x:f>
        <x:v>31600</x:v>
      </x:c>
      <x:c r="F7" s="102" t="n">
        <x:f>SUM(D7:E7)</x:f>
        <x:v>38800</x:v>
      </x:c>
      <x:c r="G7" s="101" t="n">
        <x:f>IFERROR(INDEX(Sheet5!$E$5:$E$50,MATCH(DATE($A7,12,31),Sheet5!$A$5:$A$50,0)),"")</x:f>
        <x:v>38000</x:v>
      </x:c>
      <x:c r="H7" s="101" t="n">
        <x:f>IFERROR(INDEX(Sheet5!$F$5:$F$50,MATCH(DATE($A7,12,31),Sheet5!$A$5:$A$50,0)),"")</x:f>
        <x:v>0</x:v>
      </x:c>
      <x:c r="I7" s="101" t="n">
        <x:f>IFERROR(INDEX(Sheet5!$G$5:$G$50,MATCH(DATE($A7,12,31),Sheet5!$A$5:$A$50,0)),"")</x:f>
        <x:v>0</x:v>
      </x:c>
      <x:c r="J7" s="102" t="n">
        <x:f>SUM(H7:I7)</x:f>
        <x:v>0</x:v>
      </x:c>
      <x:c r="K7" s="102" t="n">
        <x:f>SUM(F7,G7,J7)</x:f>
        <x:v>76800</x:v>
      </x:c>
      <x:c r="L7" s="101" t="n">
        <x:f>IFERROR(INDEX(Sheet5!$J$5:$J$50,MATCH(DATE($A7,12,31),Sheet5!$A$5:$A$50,0)),"")</x:f>
        <x:v>1293333.3333333333</x:v>
      </x:c>
    </x:row>
    <x:row r="8">
      <x:c r="A8" s="160" t="n">
        <x:v>2024</x:v>
      </x:c>
      <x:c r="B8" s="99" t="n">
        <x:f>IF(L8="","",K8/L8*100)</x:f>
        <x:v>6.620689655172413</x:v>
      </x:c>
      <x:c r="C8" s="99" t="n">
        <x:f>IF(OR(B8="",B7=""),"",B8-B7)</x:f>
        <x:v>0.6825453252755063</x:v>
      </x:c>
      <x:c r="D8" s="101" t="n">
        <x:f>IFERROR(INDEX(Sheet5!$C$5:$C$50,MATCH(DATE($A8,12,31),Sheet5!$A$5:$A$50,0)),"")</x:f>
        <x:v>7200</x:v>
      </x:c>
      <x:c r="E8" s="101" t="n">
        <x:f>IFERROR(INDEX(Sheet5!$D$5:$D$50,MATCH(DATE($A8,12,31),Sheet5!$A$5:$A$50,0)),"")</x:f>
        <x:v>33400</x:v>
      </x:c>
      <x:c r="F8" s="102" t="n">
        <x:f>SUM(D8:E8)</x:f>
        <x:v>40600</x:v>
      </x:c>
      <x:c r="G8" s="101" t="n">
        <x:f>IFERROR(INDEX(Sheet5!$E$5:$E$50,MATCH(DATE($A8,12,31),Sheet5!$A$5:$A$50,0)),"")</x:f>
        <x:v>39000</x:v>
      </x:c>
      <x:c r="H8" s="101" t="n">
        <x:f>IFERROR(INDEX(Sheet5!$F$5:$F$50,MATCH(DATE($A8,12,31),Sheet5!$A$5:$A$50,0)),"")</x:f>
        <x:v>10000</x:v>
      </x:c>
      <x:c r="I8" s="101" t="n">
        <x:f>IFERROR(INDEX(Sheet5!$G$5:$G$50,MATCH(DATE($A8,12,31),Sheet5!$A$5:$A$50,0)),"")</x:f>
        <x:v>0</x:v>
      </x:c>
      <x:c r="J8" s="102" t="n">
        <x:f>SUM(H8:I8)</x:f>
        <x:v>10000</x:v>
      </x:c>
      <x:c r="K8" s="102" t="n">
        <x:f>SUM(F8,G8,J8)</x:f>
        <x:v>89600</x:v>
      </x:c>
      <x:c r="L8" s="101" t="n">
        <x:f>IFERROR(INDEX(Sheet5!$J$5:$J$50,MATCH(DATE($A8,12,31),Sheet5!$A$5:$A$50,0)),"")</x:f>
        <x:v>1353333.3333333333</x:v>
      </x:c>
    </x:row>
    <x:row r="9">
      <x:c r="A9" s="160" t="n">
        <x:v>2025</x:v>
      </x:c>
      <x:c r="B9" s="99" t="n">
        <x:f>IF(L9="","",K9/L9*100)</x:f>
        <x:v>8.381625441696112</x:v>
      </x:c>
      <x:c r="C9" s="99" t="n">
        <x:f>IF(OR(B9="",B8=""),"",B9-B8)</x:f>
        <x:v>1.7609357865236994</x:v>
      </x:c>
      <x:c r="D9" s="101" t="n">
        <x:f>IFERROR(INDEX(Sheet5!$C$5:$C$50,MATCH(DATE($A9,12,31),Sheet5!$A$5:$A$50,0)),"")</x:f>
        <x:v>8000</x:v>
      </x:c>
      <x:c r="E9" s="101" t="n">
        <x:f>IFERROR(INDEX(Sheet5!$D$5:$D$50,MATCH(DATE($A9,12,31),Sheet5!$A$5:$A$50,0)),"")</x:f>
        <x:v>48600</x:v>
      </x:c>
      <x:c r="F9" s="102" t="n">
        <x:f>SUM(D9:E9)</x:f>
        <x:v>56600</x:v>
      </x:c>
      <x:c r="G9" s="101" t="n">
        <x:f>IFERROR(INDEX(Sheet5!$E$5:$E$50,MATCH(DATE($A9,12,31),Sheet5!$A$5:$A$50,0)),"")</x:f>
        <x:v>44000</x:v>
      </x:c>
      <x:c r="H9" s="101" t="n">
        <x:f>IFERROR(INDEX(Sheet5!$F$5:$F$50,MATCH(DATE($A9,12,31),Sheet5!$A$5:$A$50,0)),"")</x:f>
        <x:v>13000</x:v>
      </x:c>
      <x:c r="I9" s="101" t="n">
        <x:f>IFERROR(INDEX(Sheet5!$G$5:$G$50,MATCH(DATE($A9,12,31),Sheet5!$A$5:$A$50,0)),"")</x:f>
        <x:v>5000</x:v>
      </x:c>
      <x:c r="J9" s="102" t="n">
        <x:f>SUM(H9:I9)</x:f>
        <x:v>18000</x:v>
      </x:c>
      <x:c r="K9" s="102" t="n">
        <x:f>SUM(F9,G9,J9)</x:f>
        <x:v>118600</x:v>
      </x:c>
      <x:c r="L9" s="101" t="n">
        <x:f>IFERROR(INDEX(Sheet5!$J$5:$J$50,MATCH(DATE($A9,12,31),Sheet5!$A$5:$A$50,0)),"")</x:f>
        <x:v>1415000</x:v>
      </x:c>
    </x:row>
    <x:row r="10">
      <x:c r="A10" s="160" t="n">
        <x:v>2026</x:v>
      </x:c>
      <x:c r="B10" s="99" t="n">
        <x:f>IF(L10="","",K10/L10*100)</x:f>
        <x:v>8.074702886247879</x:v>
      </x:c>
      <x:c r="C10" s="99" t="n">
        <x:f>IF(OR(B10="",B9=""),"",B10-B9)</x:f>
        <x:v>-0.3069225554482333</x:v>
      </x:c>
      <x:c r="D10" s="101" t="n">
        <x:f>IFERROR(INDEX(Sheet5!$C$5:$C$50,MATCH(DATE($A10,12,31),Sheet5!$A$5:$A$50,0)),"")</x:f>
        <x:v>8000</x:v>
      </x:c>
      <x:c r="E10" s="101" t="n">
        <x:f>IFERROR(INDEX(Sheet5!$D$5:$D$50,MATCH(DATE($A10,12,31),Sheet5!$A$5:$A$50,0)),"")</x:f>
        <x:v>50900</x:v>
      </x:c>
      <x:c r="F10" s="102" t="n">
        <x:f>SUM(D10:E10)</x:f>
        <x:v>58900</x:v>
      </x:c>
      <x:c r="G10" s="101" t="n">
        <x:f>IFERROR(INDEX(Sheet5!$E$5:$E$50,MATCH(DATE($A10,12,31),Sheet5!$A$5:$A$50,0)),"")</x:f>
        <x:v>44000</x:v>
      </x:c>
      <x:c r="H10" s="101" t="n">
        <x:f>IFERROR(INDEX(Sheet5!$F$5:$F$50,MATCH(DATE($A10,12,31),Sheet5!$A$5:$A$50,0)),"")</x:f>
        <x:v>13000</x:v>
      </x:c>
      <x:c r="I10" s="101" t="n">
        <x:f>IFERROR(INDEX(Sheet5!$G$5:$G$50,MATCH(DATE($A10,12,31),Sheet5!$A$5:$A$50,0)),"")</x:f>
        <x:v>3000</x:v>
      </x:c>
      <x:c r="J10" s="102" t="n">
        <x:f>SUM(H10:I10)</x:f>
        <x:v>16000</x:v>
      </x:c>
      <x:c r="K10" s="102" t="n">
        <x:f>SUM(F10,G10,J10)</x:f>
        <x:v>118900</x:v>
      </x:c>
      <x:c r="L10" s="101" t="n">
        <x:f>IFERROR(INDEX(Sheet5!$J$5:$J$50,MATCH(DATE($A10,12,31),Sheet5!$A$5:$A$50,0)),"")</x:f>
        <x:v>1472500</x:v>
      </x:c>
    </x:row>
    <x:row r="11">
      <x:c r="A11" s="95"/>
      <x:c r="B11" s="99"/>
      <x:c r="C11" s="99"/>
      <x:c r="D11" s="101"/>
      <x:c r="E11" s="101"/>
      <x:c r="F11" s="102"/>
      <x:c r="G11" s="101"/>
      <x:c r="H11" s="101"/>
      <x:c r="I11" s="101"/>
      <x:c r="J11" s="102"/>
      <x:c r="K11" s="102"/>
      <x:c r="L11" s="101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3054dacfc6fb49e9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14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24" customHeight="1">
      <x:c r="A1" s="77" t="str">
        <x:v>02 收支口径脉冲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</x:row>
    <x:row r="2" ht="34" customHeight="1">
      <x:c r="A2" s="82" t="str">
        <x:v>计算起点从2020年开始，以满足12个月滚动和同比滞后要求；HTML展示窗口自2022年起。12M滚动值直接由累计值构造；分子效应 = ΔD / Y(t)，分母效应 = −d(t−12)×ΔY/Y(t)，两者之和等于净脉冲。缺失值保留为空，不补零、不插值。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</x:row>
    <x:row r="4" ht="30" customHeight="1">
      <x:c r="A4" s="89" t="str">
        <x:v>日期</x:v>
      </x:c>
      <x:c r="B4" s="89" t="str">
        <x:v>净脉冲 (pp)</x:v>
      </x:c>
      <x:c r="C4" s="89" t="str">
        <x:v>分子效应 (pp)</x:v>
      </x:c>
      <x:c r="D4" s="89" t="str">
        <x:v>分母效应 (pp)</x:v>
      </x:c>
      <x:c r="E4" s="89" t="str">
        <x:v>收支缺口率 (%)</x:v>
      </x:c>
      <x:c r="F4" s="89" t="str">
        <x:v>广义累计缺口 (亿元)</x:v>
      </x:c>
      <x:c r="G4" s="89" t="str">
        <x:v>12M滚动缺口D (亿元)</x:v>
      </x:c>
      <x:c r="H4" s="89" t="str">
        <x:v>月度名义GDP (亿元)</x:v>
      </x:c>
      <x:c r="I4" s="89" t="str">
        <x:v>12M滚动GDP Y (亿元)</x:v>
      </x:c>
      <x:c r="J4" s="89" t="str">
        <x:v>滞后12M缺口 (亿元)</x:v>
      </x:c>
      <x:c r="K4" s="89" t="str">
        <x:v>滞后12M GDP (亿元)</x:v>
      </x:c>
      <x:c r="L4" s="89" t="str">
        <x:v>滞后缺口率 (%)</x:v>
      </x:c>
      <x:c r="M4" s="89" t="str">
        <x:v>ΔD (亿元)</x:v>
      </x:c>
      <x:c r="N4" s="89" t="str">
        <x:v>ΔY (亿元)</x:v>
      </x:c>
      <x:c r="O4" s="89" t="str">
        <x:v>一般公共预算收入累计</x:v>
      </x:c>
      <x:c r="P4" s="89" t="str">
        <x:v>一般公共预算支出累计</x:v>
      </x:c>
      <x:c r="Q4" s="89" t="str">
        <x:v>政府性基金收入累计</x:v>
      </x:c>
      <x:c r="R4" s="89" t="str">
        <x:v>政府性基金支出累计</x:v>
      </x:c>
    </x:row>
    <x:row r="5">
      <x:c r="A5" s="107" t="n">
        <x:v>43861</x:v>
      </x:c>
      <x:c r="B5" s="161" t="str">
        <x:f>IF(OR(C5="",D5=""),"",C5+D5)</x:f>
      </x:c>
      <x:c r="C5" s="161" t="str">
        <x:f>IF(OR(M5="",I5=""),"",M5/I5*100)</x:f>
      </x:c>
      <x:c r="D5" s="161" t="str">
        <x:f>IF(OR(L5="",N5="",I5=""),"",-L5*N5/I5)</x:f>
      </x:c>
      <x:c r="E5" s="161" t="str">
        <x:f>IF(OR(G5="",I5=""),"",G5/I5*100)</x:f>
      </x:c>
      <x:c r="F5" s="162" t="str">
        <x:f>IF(OR(MONTH($A5)=1,O5="",P5="",Q5="",R5=""),"",P5+R5-O5-Q5)</x:f>
      </x:c>
      <x:c r="G5" s="162" t="str">
        <x:f>IF(OR(YEAR($A5)&lt;=2020,F5=""),"",F5+INDEX($F:$F,ROW()-MONTH($A5))-INDEX($F:$F,ROW()-12))</x:f>
      </x:c>
      <x:c r="H5" s="163" t="n">
        <x:f>IFERROR(INDEX(Sheet3!$B$5:$B$200,MATCH(DATE(YEAR($A5),INT((MONTH($A5)-1)/3)*3+4,0),Sheet3!$A$5:$A$200,0))/3,"")</x:f>
        <x:v>69890.36666666667</x:v>
      </x:c>
      <x:c r="I5" s="162" t="str">
        <x:f>""</x:f>
      </x:c>
      <x:c r="J5" s="162" t="str">
        <x:f>IF(YEAR($A5)&lt;=2020,"",INDEX($G:$G,ROW()-12))</x:f>
      </x:c>
      <x:c r="K5" s="162" t="str">
        <x:f>IF(YEAR($A5)&lt;=2020,"",INDEX($I:$I,ROW()-12))</x:f>
      </x:c>
      <x:c r="L5" s="162" t="str">
        <x:f>IF(YEAR($A5)&lt;=2020,"",INDEX($E:$E,ROW()-12))</x:f>
      </x:c>
      <x:c r="M5" s="162" t="str">
        <x:f>IF(OR(G5="",J5=""),"",G5-J5)</x:f>
      </x:c>
      <x:c r="N5" s="162" t="str">
        <x:f>IF(OR(I5="",K5=""),"",I5-K5)</x:f>
      </x:c>
      <x:c r="O5" s="163" t="n">
        <x:f>IFERROR(INDEX(Sheet1!$B$5:$B$500,MATCH($A5,Sheet1!$A$5:$A$500,0)),"")</x:f>
        <x:v>0</x:v>
      </x:c>
      <x:c r="P5" s="163" t="n">
        <x:f>IFERROR(INDEX(Sheet1!$C$5:$C$500,MATCH($A5,Sheet1!$A$5:$A$500,0)),"")</x:f>
        <x:v>0</x:v>
      </x:c>
      <x:c r="Q5" s="163" t="n">
        <x:f>IFERROR(INDEX(Sheet1!$H$5:$H$500,MATCH($A5,Sheet1!$A$5:$A$500,0)),"")</x:f>
        <x:v>0</x:v>
      </x:c>
      <x:c r="R5" s="163" t="n">
        <x:f>IFERROR(INDEX(Sheet1!$I$5:$I$500,MATCH($A5,Sheet1!$A$5:$A$500,0)),"")</x:f>
        <x:v>0</x:v>
      </x:c>
    </x:row>
    <x:row r="6">
      <x:c r="A6" s="107" t="n">
        <x:v>43890</x:v>
      </x:c>
      <x:c r="B6" s="161" t="str">
        <x:f>IF(OR(C6="",D6=""),"",C6+D6)</x:f>
      </x:c>
      <x:c r="C6" s="161" t="str">
        <x:f>IF(OR(M6="",I6=""),"",M6/I6*100)</x:f>
      </x:c>
      <x:c r="D6" s="161" t="str">
        <x:f>IF(OR(L6="",N6="",I6=""),"",-L6*N6/I6)</x:f>
      </x:c>
      <x:c r="E6" s="161" t="str">
        <x:f>IF(OR(G6="",I6=""),"",G6/I6*100)</x:f>
      </x:c>
      <x:c r="F6" s="162" t="n">
        <x:f>IF(OR(MONTH($A6)=1,O6="",P6="",Q6="",R6=""),"",P6+R6-O6-Q6)</x:f>
        <x:v>2309</x:v>
      </x:c>
      <x:c r="G6" s="162" t="str">
        <x:f>IF(OR(YEAR($A6)&lt;=2020,F6=""),"",F6+INDEX($F:$F,ROW()-MONTH($A6))-INDEX($F:$F,ROW()-12))</x:f>
      </x:c>
      <x:c r="H6" s="163" t="n">
        <x:f>IFERROR(INDEX(Sheet3!$B$5:$B$200,MATCH(DATE(YEAR($A6),INT((MONTH($A6)-1)/3)*3+4,0),Sheet3!$A$5:$A$200,0))/3,"")</x:f>
        <x:v>69890.36666666667</x:v>
      </x:c>
      <x:c r="I6" s="162" t="str">
        <x:f>""</x:f>
      </x:c>
      <x:c r="J6" s="162" t="str">
        <x:f>IF(YEAR($A6)&lt;=2020,"",INDEX($G:$G,ROW()-12))</x:f>
      </x:c>
      <x:c r="K6" s="162" t="str">
        <x:f>IF(YEAR($A6)&lt;=2020,"",INDEX($I:$I,ROW()-12))</x:f>
      </x:c>
      <x:c r="L6" s="162" t="str">
        <x:f>IF(YEAR($A6)&lt;=2020,"",INDEX($E:$E,ROW()-12))</x:f>
      </x:c>
      <x:c r="M6" s="162" t="str">
        <x:f>IF(OR(G6="",J6=""),"",G6-J6)</x:f>
      </x:c>
      <x:c r="N6" s="162" t="str">
        <x:f>IF(OR(I6="",K6=""),"",I6-K6)</x:f>
      </x:c>
      <x:c r="O6" s="163" t="n">
        <x:f>IFERROR(INDEX(Sheet1!$B$5:$B$500,MATCH($A6,Sheet1!$A$5:$A$500,0)),"")</x:f>
        <x:v>35232</x:v>
      </x:c>
      <x:c r="P6" s="163" t="n">
        <x:f>IFERROR(INDEX(Sheet1!$C$5:$C$500,MATCH($A6,Sheet1!$A$5:$A$500,0)),"")</x:f>
        <x:v>32350</x:v>
      </x:c>
      <x:c r="Q6" s="163" t="n">
        <x:f>IFERROR(INDEX(Sheet1!$H$5:$H$500,MATCH($A6,Sheet1!$A$5:$A$500,0)),"")</x:f>
        <x:v>7688</x:v>
      </x:c>
      <x:c r="R6" s="163" t="n">
        <x:f>IFERROR(INDEX(Sheet1!$I$5:$I$500,MATCH($A6,Sheet1!$A$5:$A$500,0)),"")</x:f>
        <x:v>12879</x:v>
      </x:c>
    </x:row>
    <x:row r="7">
      <x:c r="A7" s="107" t="n">
        <x:v>43921</x:v>
      </x:c>
      <x:c r="B7" s="161" t="str">
        <x:f>IF(OR(C7="",D7=""),"",C7+D7)</x:f>
      </x:c>
      <x:c r="C7" s="161" t="str">
        <x:f>IF(OR(M7="",I7=""),"",M7/I7*100)</x:f>
      </x:c>
      <x:c r="D7" s="161" t="str">
        <x:f>IF(OR(L7="",N7="",I7=""),"",-L7*N7/I7)</x:f>
      </x:c>
      <x:c r="E7" s="161" t="str">
        <x:f>IF(OR(G7="",I7=""),"",G7/I7*100)</x:f>
      </x:c>
      <x:c r="F7" s="162" t="n">
        <x:f>IF(OR(MONTH($A7)=1,O7="",P7="",Q7="",R7=""),"",P7+R7-O7-Q7)</x:f>
        <x:v>16472</x:v>
      </x:c>
      <x:c r="G7" s="162" t="str">
        <x:f>IF(OR(YEAR($A7)&lt;=2020,F7=""),"",F7+INDEX($F:$F,ROW()-MONTH($A7))-INDEX($F:$F,ROW()-12))</x:f>
      </x:c>
      <x:c r="H7" s="163" t="n">
        <x:f>IFERROR(INDEX(Sheet3!$B$5:$B$200,MATCH(DATE(YEAR($A7),INT((MONTH($A7)-1)/3)*3+4,0),Sheet3!$A$5:$A$200,0))/3,"")</x:f>
        <x:v>69890.36666666667</x:v>
      </x:c>
      <x:c r="I7" s="162" t="str">
        <x:f>""</x:f>
      </x:c>
      <x:c r="J7" s="162" t="str">
        <x:f>IF(YEAR($A7)&lt;=2020,"",INDEX($G:$G,ROW()-12))</x:f>
      </x:c>
      <x:c r="K7" s="162" t="str">
        <x:f>IF(YEAR($A7)&lt;=2020,"",INDEX($I:$I,ROW()-12))</x:f>
      </x:c>
      <x:c r="L7" s="162" t="str">
        <x:f>IF(YEAR($A7)&lt;=2020,"",INDEX($E:$E,ROW()-12))</x:f>
      </x:c>
      <x:c r="M7" s="162" t="str">
        <x:f>IF(OR(G7="",J7=""),"",G7-J7)</x:f>
      </x:c>
      <x:c r="N7" s="162" t="str">
        <x:f>IF(OR(I7="",K7=""),"",I7-K7)</x:f>
      </x:c>
      <x:c r="O7" s="163" t="n">
        <x:f>IFERROR(INDEX(Sheet1!$B$5:$B$500,MATCH($A7,Sheet1!$A$5:$A$500,0)),"")</x:f>
        <x:v>45984</x:v>
      </x:c>
      <x:c r="P7" s="163" t="n">
        <x:f>IFERROR(INDEX(Sheet1!$C$5:$C$500,MATCH($A7,Sheet1!$A$5:$A$500,0)),"")</x:f>
        <x:v>55284</x:v>
      </x:c>
      <x:c r="Q7" s="163" t="n">
        <x:f>IFERROR(INDEX(Sheet1!$H$5:$H$500,MATCH($A7,Sheet1!$A$5:$A$500,0)),"")</x:f>
        <x:v>12577</x:v>
      </x:c>
      <x:c r="R7" s="163" t="n">
        <x:f>IFERROR(INDEX(Sheet1!$I$5:$I$500,MATCH($A7,Sheet1!$A$5:$A$500,0)),"")</x:f>
        <x:v>19749</x:v>
      </x:c>
    </x:row>
    <x:row r="8">
      <x:c r="A8" s="107" t="n">
        <x:v>43951</x:v>
      </x:c>
      <x:c r="B8" s="161" t="str">
        <x:f>IF(OR(C8="",D8=""),"",C8+D8)</x:f>
      </x:c>
      <x:c r="C8" s="161" t="str">
        <x:f>IF(OR(M8="",I8=""),"",M8/I8*100)</x:f>
      </x:c>
      <x:c r="D8" s="161" t="str">
        <x:f>IF(OR(L8="",N8="",I8=""),"",-L8*N8/I8)</x:f>
      </x:c>
      <x:c r="E8" s="161" t="str">
        <x:f>IF(OR(G8="",I8=""),"",G8/I8*100)</x:f>
      </x:c>
      <x:c r="F8" s="162" t="n">
        <x:f>IF(OR(MONTH($A8)=1,O8="",P8="",Q8="",R8=""),"",P8+R8-O8-Q8)</x:f>
        <x:v>19459</x:v>
      </x:c>
      <x:c r="G8" s="162" t="str">
        <x:f>IF(OR(YEAR($A8)&lt;=2020,F8=""),"",F8+INDEX($F:$F,ROW()-MONTH($A8))-INDEX($F:$F,ROW()-12))</x:f>
      </x:c>
      <x:c r="H8" s="163" t="n">
        <x:f>IFERROR(INDEX(Sheet3!$B$5:$B$200,MATCH(DATE(YEAR($A8),INT((MONTH($A8)-1)/3)*3+4,0),Sheet3!$A$5:$A$200,0))/3,"")</x:f>
        <x:v>84483.33333333333</x:v>
      </x:c>
      <x:c r="I8" s="162" t="str">
        <x:f>""</x:f>
      </x:c>
      <x:c r="J8" s="162" t="str">
        <x:f>IF(YEAR($A8)&lt;=2020,"",INDEX($G:$G,ROW()-12))</x:f>
      </x:c>
      <x:c r="K8" s="162" t="str">
        <x:f>IF(YEAR($A8)&lt;=2020,"",INDEX($I:$I,ROW()-12))</x:f>
      </x:c>
      <x:c r="L8" s="162" t="str">
        <x:f>IF(YEAR($A8)&lt;=2020,"",INDEX($E:$E,ROW()-12))</x:f>
      </x:c>
      <x:c r="M8" s="162" t="str">
        <x:f>IF(OR(G8="",J8=""),"",G8-J8)</x:f>
      </x:c>
      <x:c r="N8" s="162" t="str">
        <x:f>IF(OR(I8="",K8=""),"",I8-K8)</x:f>
      </x:c>
      <x:c r="O8" s="163" t="n">
        <x:f>IFERROR(INDEX(Sheet1!$B$5:$B$500,MATCH($A8,Sheet1!$A$5:$A$500,0)),"")</x:f>
        <x:v>62133</x:v>
      </x:c>
      <x:c r="P8" s="163" t="n">
        <x:f>IFERROR(INDEX(Sheet1!$C$5:$C$500,MATCH($A8,Sheet1!$A$5:$A$500,0)),"")</x:f>
        <x:v>73596</x:v>
      </x:c>
      <x:c r="Q8" s="163" t="n">
        <x:f>IFERROR(INDEX(Sheet1!$H$5:$H$500,MATCH($A8,Sheet1!$A$5:$A$500,0)),"")</x:f>
        <x:v>17770</x:v>
      </x:c>
      <x:c r="R8" s="163" t="n">
        <x:f>IFERROR(INDEX(Sheet1!$I$5:$I$500,MATCH($A8,Sheet1!$A$5:$A$500,0)),"")</x:f>
        <x:v>25766</x:v>
      </x:c>
    </x:row>
    <x:row r="9">
      <x:c r="A9" s="107" t="n">
        <x:v>43982</x:v>
      </x:c>
      <x:c r="B9" s="161" t="str">
        <x:f>IF(OR(C9="",D9=""),"",C9+D9)</x:f>
      </x:c>
      <x:c r="C9" s="161" t="str">
        <x:f>IF(OR(M9="",I9=""),"",M9/I9*100)</x:f>
      </x:c>
      <x:c r="D9" s="161" t="str">
        <x:f>IF(OR(L9="",N9="",I9=""),"",-L9*N9/I9)</x:f>
      </x:c>
      <x:c r="E9" s="161" t="str">
        <x:f>IF(OR(G9="",I9=""),"",G9/I9*100)</x:f>
      </x:c>
      <x:c r="F9" s="162" t="n">
        <x:f>IF(OR(MONTH($A9)=1,O9="",P9="",Q9="",R9=""),"",P9+R9-O9-Q9)</x:f>
        <x:v>20824</x:v>
      </x:c>
      <x:c r="G9" s="162" t="str">
        <x:f>IF(OR(YEAR($A9)&lt;=2020,F9=""),"",F9+INDEX($F:$F,ROW()-MONTH($A9))-INDEX($F:$F,ROW()-12))</x:f>
      </x:c>
      <x:c r="H9" s="163" t="n">
        <x:f>IFERROR(INDEX(Sheet3!$B$5:$B$200,MATCH(DATE(YEAR($A9),INT((MONTH($A9)-1)/3)*3+4,0),Sheet3!$A$5:$A$200,0))/3,"")</x:f>
        <x:v>84483.33333333333</x:v>
      </x:c>
      <x:c r="I9" s="162" t="str">
        <x:f>""</x:f>
      </x:c>
      <x:c r="J9" s="162" t="str">
        <x:f>IF(YEAR($A9)&lt;=2020,"",INDEX($G:$G,ROW()-12))</x:f>
      </x:c>
      <x:c r="K9" s="162" t="str">
        <x:f>IF(YEAR($A9)&lt;=2020,"",INDEX($I:$I,ROW()-12))</x:f>
      </x:c>
      <x:c r="L9" s="162" t="str">
        <x:f>IF(YEAR($A9)&lt;=2020,"",INDEX($E:$E,ROW()-12))</x:f>
      </x:c>
      <x:c r="M9" s="162" t="str">
        <x:f>IF(OR(G9="",J9=""),"",G9-J9)</x:f>
      </x:c>
      <x:c r="N9" s="162" t="str">
        <x:f>IF(OR(I9="",K9=""),"",I9-K9)</x:f>
      </x:c>
      <x:c r="O9" s="163" t="n">
        <x:f>IFERROR(INDEX(Sheet1!$B$5:$B$500,MATCH($A9,Sheet1!$A$5:$A$500,0)),"")</x:f>
        <x:v>77672</x:v>
      </x:c>
      <x:c r="P9" s="163" t="n">
        <x:f>IFERROR(INDEX(Sheet1!$C$5:$C$500,MATCH($A9,Sheet1!$A$5:$A$500,0)),"")</x:f>
        <x:v>90281</x:v>
      </x:c>
      <x:c r="Q9" s="163" t="n">
        <x:f>IFERROR(INDEX(Sheet1!$H$5:$H$500,MATCH($A9,Sheet1!$A$5:$A$500,0)),"")</x:f>
        <x:v>23641</x:v>
      </x:c>
      <x:c r="R9" s="163" t="n">
        <x:f>IFERROR(INDEX(Sheet1!$I$5:$I$500,MATCH($A9,Sheet1!$A$5:$A$500,0)),"")</x:f>
        <x:v>31856</x:v>
      </x:c>
    </x:row>
    <x:row r="10">
      <x:c r="A10" s="107" t="n">
        <x:v>44012</x:v>
      </x:c>
      <x:c r="B10" s="161" t="str">
        <x:f>IF(OR(C10="",D10=""),"",C10+D10)</x:f>
      </x:c>
      <x:c r="C10" s="161" t="str">
        <x:f>IF(OR(M10="",I10=""),"",M10/I10*100)</x:f>
      </x:c>
      <x:c r="D10" s="161" t="str">
        <x:f>IF(OR(L10="",N10="",I10=""),"",-L10*N10/I10)</x:f>
      </x:c>
      <x:c r="E10" s="161" t="str">
        <x:f>IF(OR(G10="",I10=""),"",G10/I10*100)</x:f>
      </x:c>
      <x:c r="F10" s="162" t="n">
        <x:f>IF(OR(MONTH($A10)=1,O10="",P10="",Q10="",R10=""),"",P10+R10-O10-Q10)</x:f>
        <x:v>33968</x:v>
      </x:c>
      <x:c r="G10" s="162" t="str">
        <x:f>IF(OR(YEAR($A10)&lt;=2020,F10=""),"",F10+INDEX($F:$F,ROW()-MONTH($A10))-INDEX($F:$F,ROW()-12))</x:f>
      </x:c>
      <x:c r="H10" s="163" t="n">
        <x:f>IFERROR(INDEX(Sheet3!$B$5:$B$200,MATCH(DATE(YEAR($A10),INT((MONTH($A10)-1)/3)*3+4,0),Sheet3!$A$5:$A$200,0))/3,"")</x:f>
        <x:v>84483.33333333333</x:v>
      </x:c>
      <x:c r="I10" s="162" t="str">
        <x:f>""</x:f>
      </x:c>
      <x:c r="J10" s="162" t="str">
        <x:f>IF(YEAR($A10)&lt;=2020,"",INDEX($G:$G,ROW()-12))</x:f>
      </x:c>
      <x:c r="K10" s="162" t="str">
        <x:f>IF(YEAR($A10)&lt;=2020,"",INDEX($I:$I,ROW()-12))</x:f>
      </x:c>
      <x:c r="L10" s="162" t="str">
        <x:f>IF(YEAR($A10)&lt;=2020,"",INDEX($E:$E,ROW()-12))</x:f>
      </x:c>
      <x:c r="M10" s="162" t="str">
        <x:f>IF(OR(G10="",J10=""),"",G10-J10)</x:f>
      </x:c>
      <x:c r="N10" s="162" t="str">
        <x:f>IF(OR(I10="",K10=""),"",I10-K10)</x:f>
      </x:c>
      <x:c r="O10" s="163" t="n">
        <x:f>IFERROR(INDEX(Sheet1!$B$5:$B$500,MATCH($A10,Sheet1!$A$5:$A$500,0)),"")</x:f>
        <x:v>96176</x:v>
      </x:c>
      <x:c r="P10" s="163" t="n">
        <x:f>IFERROR(INDEX(Sheet1!$C$5:$C$500,MATCH($A10,Sheet1!$A$5:$A$500,0)),"")</x:f>
        <x:v>116411</x:v>
      </x:c>
      <x:c r="Q10" s="163" t="n">
        <x:f>IFERROR(INDEX(Sheet1!$H$5:$H$500,MATCH($A10,Sheet1!$A$5:$A$500,0)),"")</x:f>
        <x:v>31479</x:v>
      </x:c>
      <x:c r="R10" s="163" t="n">
        <x:f>IFERROR(INDEX(Sheet1!$I$5:$I$500,MATCH($A10,Sheet1!$A$5:$A$500,0)),"")</x:f>
        <x:v>45212</x:v>
      </x:c>
    </x:row>
    <x:row r="11">
      <x:c r="A11" s="107" t="n">
        <x:v>44043</x:v>
      </x:c>
      <x:c r="B11" s="161" t="str">
        <x:f>IF(OR(C11="",D11=""),"",C11+D11)</x:f>
      </x:c>
      <x:c r="C11" s="161" t="str">
        <x:f>IF(OR(M11="",I11=""),"",M11/I11*100)</x:f>
      </x:c>
      <x:c r="D11" s="161" t="str">
        <x:f>IF(OR(L11="",N11="",I11=""),"",-L11*N11/I11)</x:f>
      </x:c>
      <x:c r="E11" s="161" t="str">
        <x:f>IF(OR(G11="",I11=""),"",G11/I11*100)</x:f>
      </x:c>
      <x:c r="F11" s="162" t="n">
        <x:f>IF(OR(MONTH($A11)=1,O11="",P11="",Q11="",R11=""),"",P11+R11-O11-Q11)</x:f>
        <x:v>32586</x:v>
      </x:c>
      <x:c r="G11" s="162" t="str">
        <x:f>IF(OR(YEAR($A11)&lt;=2020,F11=""),"",F11+INDEX($F:$F,ROW()-MONTH($A11))-INDEX($F:$F,ROW()-12))</x:f>
      </x:c>
      <x:c r="H11" s="163" t="n">
        <x:f>IFERROR(INDEX(Sheet3!$B$5:$B$200,MATCH(DATE(YEAR($A11),INT((MONTH($A11)-1)/3)*3+4,0),Sheet3!$A$5:$A$200,0))/3,"")</x:f>
        <x:v>89970.06666666667</x:v>
      </x:c>
      <x:c r="I11" s="162" t="str">
        <x:f>""</x:f>
      </x:c>
      <x:c r="J11" s="162" t="str">
        <x:f>IF(YEAR($A11)&lt;=2020,"",INDEX($G:$G,ROW()-12))</x:f>
      </x:c>
      <x:c r="K11" s="162" t="str">
        <x:f>IF(YEAR($A11)&lt;=2020,"",INDEX($I:$I,ROW()-12))</x:f>
      </x:c>
      <x:c r="L11" s="162" t="str">
        <x:f>IF(YEAR($A11)&lt;=2020,"",INDEX($E:$E,ROW()-12))</x:f>
      </x:c>
      <x:c r="M11" s="162" t="str">
        <x:f>IF(OR(G11="",J11=""),"",G11-J11)</x:f>
      </x:c>
      <x:c r="N11" s="162" t="str">
        <x:f>IF(OR(I11="",K11=""),"",I11-K11)</x:f>
      </x:c>
      <x:c r="O11" s="163" t="n">
        <x:f>IFERROR(INDEX(Sheet1!$B$5:$B$500,MATCH($A11,Sheet1!$A$5:$A$500,0)),"")</x:f>
        <x:v>114725</x:v>
      </x:c>
      <x:c r="P11" s="163" t="n">
        <x:f>IFERROR(INDEX(Sheet1!$C$5:$C$500,MATCH($A11,Sheet1!$A$5:$A$500,0)),"")</x:f>
        <x:v>133499</x:v>
      </x:c>
      <x:c r="Q11" s="163" t="n">
        <x:f>IFERROR(INDEX(Sheet1!$H$5:$H$500,MATCH($A11,Sheet1!$A$5:$A$500,0)),"")</x:f>
        <x:v>39173</x:v>
      </x:c>
      <x:c r="R11" s="163" t="n">
        <x:f>IFERROR(INDEX(Sheet1!$I$5:$I$500,MATCH($A11,Sheet1!$A$5:$A$500,0)),"")</x:f>
        <x:v>52985</x:v>
      </x:c>
    </x:row>
    <x:row r="12">
      <x:c r="A12" s="107" t="n">
        <x:v>44074</x:v>
      </x:c>
      <x:c r="B12" s="161" t="str">
        <x:f>IF(OR(C12="",D12=""),"",C12+D12)</x:f>
      </x:c>
      <x:c r="C12" s="161" t="str">
        <x:f>IF(OR(M12="",I12=""),"",M12/I12*100)</x:f>
      </x:c>
      <x:c r="D12" s="161" t="str">
        <x:f>IF(OR(L12="",N12="",I12=""),"",-L12*N12/I12)</x:f>
      </x:c>
      <x:c r="E12" s="161" t="str">
        <x:f>IF(OR(G12="",I12=""),"",G12/I12*100)</x:f>
      </x:c>
      <x:c r="F12" s="162" t="n">
        <x:f>IF(OR(MONTH($A12)=1,O12="",P12="",Q12="",R12=""),"",P12+R12-O12-Q12)</x:f>
        <x:v>40016</x:v>
      </x:c>
      <x:c r="G12" s="162" t="str">
        <x:f>IF(OR(YEAR($A12)&lt;=2020,F12=""),"",F12+INDEX($F:$F,ROW()-MONTH($A12))-INDEX($F:$F,ROW()-12))</x:f>
      </x:c>
      <x:c r="H12" s="163" t="n">
        <x:f>IFERROR(INDEX(Sheet3!$B$5:$B$200,MATCH(DATE(YEAR($A12),INT((MONTH($A12)-1)/3)*3+4,0),Sheet3!$A$5:$A$200,0))/3,"")</x:f>
        <x:v>89970.06666666667</x:v>
      </x:c>
      <x:c r="I12" s="162" t="str">
        <x:f>""</x:f>
      </x:c>
      <x:c r="J12" s="162" t="str">
        <x:f>IF(YEAR($A12)&lt;=2020,"",INDEX($G:$G,ROW()-12))</x:f>
      </x:c>
      <x:c r="K12" s="162" t="str">
        <x:f>IF(YEAR($A12)&lt;=2020,"",INDEX($I:$I,ROW()-12))</x:f>
      </x:c>
      <x:c r="L12" s="162" t="str">
        <x:f>IF(YEAR($A12)&lt;=2020,"",INDEX($E:$E,ROW()-12))</x:f>
      </x:c>
      <x:c r="M12" s="162" t="str">
        <x:f>IF(OR(G12="",J12=""),"",G12-J12)</x:f>
      </x:c>
      <x:c r="N12" s="162" t="str">
        <x:f>IF(OR(I12="",K12=""),"",I12-K12)</x:f>
      </x:c>
      <x:c r="O12" s="163" t="n">
        <x:f>IFERROR(INDEX(Sheet1!$B$5:$B$500,MATCH($A12,Sheet1!$A$5:$A$500,0)),"")</x:f>
        <x:v>126768</x:v>
      </x:c>
      <x:c r="P12" s="163" t="n">
        <x:f>IFERROR(INDEX(Sheet1!$C$5:$C$500,MATCH($A12,Sheet1!$A$5:$A$500,0)),"")</x:f>
        <x:v>149925</x:v>
      </x:c>
      <x:c r="Q12" s="163" t="n">
        <x:f>IFERROR(INDEX(Sheet1!$H$5:$H$500,MATCH($A12,Sheet1!$A$5:$A$500,0)),"")</x:f>
        <x:v>47030</x:v>
      </x:c>
      <x:c r="R12" s="163" t="n">
        <x:f>IFERROR(INDEX(Sheet1!$I$5:$I$500,MATCH($A12,Sheet1!$A$5:$A$500,0)),"")</x:f>
        <x:v>63889</x:v>
      </x:c>
    </x:row>
    <x:row r="13">
      <x:c r="A13" s="107" t="n">
        <x:v>44104</x:v>
      </x:c>
      <x:c r="B13" s="161" t="str">
        <x:f>IF(OR(C13="",D13=""),"",C13+D13)</x:f>
      </x:c>
      <x:c r="C13" s="161" t="str">
        <x:f>IF(OR(M13="",I13=""),"",M13/I13*100)</x:f>
      </x:c>
      <x:c r="D13" s="161" t="str">
        <x:f>IF(OR(L13="",N13="",I13=""),"",-L13*N13/I13)</x:f>
      </x:c>
      <x:c r="E13" s="161" t="str">
        <x:f>IF(OR(G13="",I13=""),"",G13/I13*100)</x:f>
      </x:c>
      <x:c r="F13" s="162" t="n">
        <x:f>IF(OR(MONTH($A13)=1,O13="",P13="",Q13="",R13=""),"",P13+R13-O13-Q13)</x:f>
        <x:v>57194</x:v>
      </x:c>
      <x:c r="G13" s="162" t="str">
        <x:f>IF(OR(YEAR($A13)&lt;=2020,F13=""),"",F13+INDEX($F:$F,ROW()-MONTH($A13))-INDEX($F:$F,ROW()-12))</x:f>
      </x:c>
      <x:c r="H13" s="163" t="n">
        <x:f>IFERROR(INDEX(Sheet3!$B$5:$B$200,MATCH(DATE(YEAR($A13),INT((MONTH($A13)-1)/3)*3+4,0),Sheet3!$A$5:$A$200,0))/3,"")</x:f>
        <x:v>89970.06666666667</x:v>
      </x:c>
      <x:c r="I13" s="162" t="str">
        <x:f>""</x:f>
      </x:c>
      <x:c r="J13" s="162" t="str">
        <x:f>IF(YEAR($A13)&lt;=2020,"",INDEX($G:$G,ROW()-12))</x:f>
      </x:c>
      <x:c r="K13" s="162" t="str">
        <x:f>IF(YEAR($A13)&lt;=2020,"",INDEX($I:$I,ROW()-12))</x:f>
      </x:c>
      <x:c r="L13" s="162" t="str">
        <x:f>IF(YEAR($A13)&lt;=2020,"",INDEX($E:$E,ROW()-12))</x:f>
      </x:c>
      <x:c r="M13" s="162" t="str">
        <x:f>IF(OR(G13="",J13=""),"",G13-J13)</x:f>
      </x:c>
      <x:c r="N13" s="162" t="str">
        <x:f>IF(OR(I13="",K13=""),"",I13-K13)</x:f>
      </x:c>
      <x:c r="O13" s="163" t="n">
        <x:f>IFERROR(INDEX(Sheet1!$B$5:$B$500,MATCH($A13,Sheet1!$A$5:$A$500,0)),"")</x:f>
        <x:v>141002</x:v>
      </x:c>
      <x:c r="P13" s="163" t="n">
        <x:f>IFERROR(INDEX(Sheet1!$C$5:$C$500,MATCH($A13,Sheet1!$A$5:$A$500,0)),"")</x:f>
        <x:v>175185</x:v>
      </x:c>
      <x:c r="Q13" s="163" t="n">
        <x:f>IFERROR(INDEX(Sheet1!$H$5:$H$500,MATCH($A13,Sheet1!$A$5:$A$500,0)),"")</x:f>
        <x:v>55207</x:v>
      </x:c>
      <x:c r="R13" s="163" t="n">
        <x:f>IFERROR(INDEX(Sheet1!$I$5:$I$500,MATCH($A13,Sheet1!$A$5:$A$500,0)),"")</x:f>
        <x:v>78218</x:v>
      </x:c>
    </x:row>
    <x:row r="14">
      <x:c r="A14" s="107" t="n">
        <x:v>44135</x:v>
      </x:c>
      <x:c r="B14" s="161" t="str">
        <x:f>IF(OR(C14="",D14=""),"",C14+D14)</x:f>
      </x:c>
      <x:c r="C14" s="161" t="str">
        <x:f>IF(OR(M14="",I14=""),"",M14/I14*100)</x:f>
      </x:c>
      <x:c r="D14" s="161" t="str">
        <x:f>IF(OR(L14="",N14="",I14=""),"",-L14*N14/I14)</x:f>
      </x:c>
      <x:c r="E14" s="161" t="str">
        <x:f>IF(OR(G14="",I14=""),"",G14/I14*100)</x:f>
      </x:c>
      <x:c r="F14" s="162" t="n">
        <x:f>IF(OR(MONTH($A14)=1,O14="",P14="",Q14="",R14=""),"",P14+R14-O14-Q14)</x:f>
        <x:v>53880</x:v>
      </x:c>
      <x:c r="G14" s="162" t="str">
        <x:f>IF(OR(YEAR($A14)&lt;=2020,F14=""),"",F14+INDEX($F:$F,ROW()-MONTH($A14))-INDEX($F:$F,ROW()-12))</x:f>
      </x:c>
      <x:c r="H14" s="163" t="n">
        <x:f>IFERROR(INDEX(Sheet3!$B$5:$B$200,MATCH(DATE(YEAR($A14),INT((MONTH($A14)-1)/3)*3+4,0),Sheet3!$A$5:$A$200,0))/3,"")</x:f>
        <x:v>100612.06666666667</x:v>
      </x:c>
      <x:c r="I14" s="162" t="str">
        <x:f>""</x:f>
      </x:c>
      <x:c r="J14" s="162" t="str">
        <x:f>IF(YEAR($A14)&lt;=2020,"",INDEX($G:$G,ROW()-12))</x:f>
      </x:c>
      <x:c r="K14" s="162" t="str">
        <x:f>IF(YEAR($A14)&lt;=2020,"",INDEX($I:$I,ROW()-12))</x:f>
      </x:c>
      <x:c r="L14" s="162" t="str">
        <x:f>IF(YEAR($A14)&lt;=2020,"",INDEX($E:$E,ROW()-12))</x:f>
      </x:c>
      <x:c r="M14" s="162" t="str">
        <x:f>IF(OR(G14="",J14=""),"",G14-J14)</x:f>
      </x:c>
      <x:c r="N14" s="162" t="str">
        <x:f>IF(OR(I14="",K14=""),"",I14-K14)</x:f>
      </x:c>
      <x:c r="O14" s="163" t="n">
        <x:f>IFERROR(INDEX(Sheet1!$B$5:$B$500,MATCH($A14,Sheet1!$A$5:$A$500,0)),"")</x:f>
        <x:v>158533</x:v>
      </x:c>
      <x:c r="P14" s="163" t="n">
        <x:f>IFERROR(INDEX(Sheet1!$C$5:$C$500,MATCH($A14,Sheet1!$A$5:$A$500,0)),"")</x:f>
        <x:v>189439</x:v>
      </x:c>
      <x:c r="Q14" s="163" t="n">
        <x:f>IFERROR(INDEX(Sheet1!$H$5:$H$500,MATCH($A14,Sheet1!$A$5:$A$500,0)),"")</x:f>
        <x:v>62645</x:v>
      </x:c>
      <x:c r="R14" s="163" t="n">
        <x:f>IFERROR(INDEX(Sheet1!$I$5:$I$500,MATCH($A14,Sheet1!$A$5:$A$500,0)),"")</x:f>
        <x:v>85619</x:v>
      </x:c>
    </x:row>
    <x:row r="15">
      <x:c r="A15" s="107" t="n">
        <x:v>44165</x:v>
      </x:c>
      <x:c r="B15" s="161" t="str">
        <x:f>IF(OR(C15="",D15=""),"",C15+D15)</x:f>
      </x:c>
      <x:c r="C15" s="161" t="str">
        <x:f>IF(OR(M15="",I15=""),"",M15/I15*100)</x:f>
      </x:c>
      <x:c r="D15" s="161" t="str">
        <x:f>IF(OR(L15="",N15="",I15=""),"",-L15*N15/I15)</x:f>
      </x:c>
      <x:c r="E15" s="161" t="str">
        <x:f>IF(OR(G15="",I15=""),"",G15/I15*100)</x:f>
      </x:c>
      <x:c r="F15" s="162" t="n">
        <x:f>IF(OR(MONTH($A15)=1,O15="",P15="",Q15="",R15=""),"",P15+R15-O15-Q15)</x:f>
        <x:v>61238</x:v>
      </x:c>
      <x:c r="G15" s="162" t="str">
        <x:f>IF(OR(YEAR($A15)&lt;=2020,F15=""),"",F15+INDEX($F:$F,ROW()-MONTH($A15))-INDEX($F:$F,ROW()-12))</x:f>
      </x:c>
      <x:c r="H15" s="163" t="n">
        <x:f>IFERROR(INDEX(Sheet3!$B$5:$B$200,MATCH(DATE(YEAR($A15),INT((MONTH($A15)-1)/3)*3+4,0),Sheet3!$A$5:$A$200,0))/3,"")</x:f>
        <x:v>100612.06666666667</x:v>
      </x:c>
      <x:c r="I15" s="162" t="str">
        <x:f>""</x:f>
      </x:c>
      <x:c r="J15" s="162" t="str">
        <x:f>IF(YEAR($A15)&lt;=2020,"",INDEX($G:$G,ROW()-12))</x:f>
      </x:c>
      <x:c r="K15" s="162" t="str">
        <x:f>IF(YEAR($A15)&lt;=2020,"",INDEX($I:$I,ROW()-12))</x:f>
      </x:c>
      <x:c r="L15" s="162" t="str">
        <x:f>IF(YEAR($A15)&lt;=2020,"",INDEX($E:$E,ROW()-12))</x:f>
      </x:c>
      <x:c r="M15" s="162" t="str">
        <x:f>IF(OR(G15="",J15=""),"",G15-J15)</x:f>
      </x:c>
      <x:c r="N15" s="162" t="str">
        <x:f>IF(OR(I15="",K15=""),"",I15-K15)</x:f>
      </x:c>
      <x:c r="O15" s="163" t="n">
        <x:f>IFERROR(INDEX(Sheet1!$B$5:$B$500,MATCH($A15,Sheet1!$A$5:$A$500,0)),"")</x:f>
        <x:v>169489</x:v>
      </x:c>
      <x:c r="P15" s="163" t="n">
        <x:f>IFERROR(INDEX(Sheet1!$C$5:$C$500,MATCH($A15,Sheet1!$A$5:$A$500,0)),"")</x:f>
        <x:v>207846</x:v>
      </x:c>
      <x:c r="Q15" s="163" t="n">
        <x:f>IFERROR(INDEX(Sheet1!$H$5:$H$500,MATCH($A15,Sheet1!$A$5:$A$500,0)),"")</x:f>
        <x:v>72672</x:v>
      </x:c>
      <x:c r="R15" s="163" t="n">
        <x:f>IFERROR(INDEX(Sheet1!$I$5:$I$500,MATCH($A15,Sheet1!$A$5:$A$500,0)),"")</x:f>
        <x:v>95553</x:v>
      </x:c>
    </x:row>
    <x:row r="16">
      <x:c r="A16" s="107" t="n">
        <x:v>44196</x:v>
      </x:c>
      <x:c r="B16" s="161" t="str">
        <x:f>IF(OR(C16="",D16=""),"",C16+D16)</x:f>
      </x:c>
      <x:c r="C16" s="161" t="str">
        <x:f>IF(OR(M16="",I16=""),"",M16/I16*100)</x:f>
      </x:c>
      <x:c r="D16" s="161" t="str">
        <x:f>IF(OR(L16="",N16="",I16=""),"",-L16*N16/I16)</x:f>
      </x:c>
      <x:c r="E16" s="161" t="str">
        <x:f>IF(OR(G16="",I16=""),"",G16/I16*100)</x:f>
      </x:c>
      <x:c r="F16" s="162" t="n">
        <x:f>IF(OR(MONTH($A16)=1,O16="",P16="",Q16="",R16=""),"",P16+R16-O16-Q16)</x:f>
        <x:v>87203</x:v>
      </x:c>
      <x:c r="G16" s="162" t="str">
        <x:f>IF(OR(YEAR($A16)&lt;=2020,F16=""),"",F16+INDEX($F:$F,ROW()-MONTH($A16))-INDEX($F:$F,ROW()-12))</x:f>
      </x:c>
      <x:c r="H16" s="163" t="n">
        <x:f>IFERROR(INDEX(Sheet3!$B$5:$B$200,MATCH(DATE(YEAR($A16),INT((MONTH($A16)-1)/3)*3+4,0),Sheet3!$A$5:$A$200,0))/3,"")</x:f>
        <x:v>100612.06666666667</x:v>
      </x:c>
      <x:c r="I16" s="162" t="n">
        <x:f>IF(COUNT(H5:H16)=12,SUM(H5:H16),"")</x:f>
        <x:v>1034867.4999999999</x:v>
      </x:c>
      <x:c r="J16" s="162" t="str">
        <x:f>IF(YEAR($A16)&lt;=2020,"",INDEX($G:$G,ROW()-12))</x:f>
      </x:c>
      <x:c r="K16" s="162" t="str">
        <x:f>IF(YEAR($A16)&lt;=2020,"",INDEX($I:$I,ROW()-12))</x:f>
      </x:c>
      <x:c r="L16" s="162" t="str">
        <x:f>IF(YEAR($A16)&lt;=2020,"",INDEX($E:$E,ROW()-12))</x:f>
      </x:c>
      <x:c r="M16" s="162" t="str">
        <x:f>IF(OR(G16="",J16=""),"",G16-J16)</x:f>
      </x:c>
      <x:c r="N16" s="162" t="str">
        <x:f>IF(OR(I16="",K16=""),"",I16-K16)</x:f>
      </x:c>
      <x:c r="O16" s="163" t="n">
        <x:f>IFERROR(INDEX(Sheet1!$B$5:$B$500,MATCH($A16,Sheet1!$A$5:$A$500,0)),"")</x:f>
        <x:v>182895</x:v>
      </x:c>
      <x:c r="P16" s="163" t="n">
        <x:f>IFERROR(INDEX(Sheet1!$C$5:$C$500,MATCH($A16,Sheet1!$A$5:$A$500,0)),"")</x:f>
        <x:v>245588</x:v>
      </x:c>
      <x:c r="Q16" s="163" t="n">
        <x:f>IFERROR(INDEX(Sheet1!$H$5:$H$500,MATCH($A16,Sheet1!$A$5:$A$500,0)),"")</x:f>
        <x:v>93489</x:v>
      </x:c>
      <x:c r="R16" s="163" t="n">
        <x:f>IFERROR(INDEX(Sheet1!$I$5:$I$500,MATCH($A16,Sheet1!$A$5:$A$500,0)),"")</x:f>
        <x:v>117999</x:v>
      </x:c>
    </x:row>
    <x:row r="17">
      <x:c r="A17" s="107" t="n">
        <x:v>44227</x:v>
      </x:c>
      <x:c r="B17" s="161" t="str">
        <x:f>IF(OR(C17="",D17=""),"",C17+D17)</x:f>
      </x:c>
      <x:c r="C17" s="161" t="str">
        <x:f>IF(OR(M17="",I17=""),"",M17/I17*100)</x:f>
      </x:c>
      <x:c r="D17" s="161" t="str">
        <x:f>IF(OR(L17="",N17="",I17=""),"",-L17*N17/I17)</x:f>
      </x:c>
      <x:c r="E17" s="161" t="str">
        <x:f>IF(OR(G17="",I17=""),"",G17/I17*100)</x:f>
      </x:c>
      <x:c r="F17" s="162" t="str">
        <x:f>IF(OR(MONTH($A17)=1,O17="",P17="",Q17="",R17=""),"",P17+R17-O17-Q17)</x:f>
      </x:c>
      <x:c r="G17" s="162" t="str">
        <x:f>IF(OR(YEAR($A17)&lt;=2020,F17=""),"",F17+INDEX($F:$F,ROW()-MONTH($A17))-INDEX($F:$F,ROW()-12))</x:f>
      </x:c>
      <x:c r="H17" s="163" t="n">
        <x:f>IFERROR(INDEX(Sheet3!$B$5:$B$200,MATCH(DATE(YEAR($A17),INT((MONTH($A17)-1)/3)*3+4,0),Sheet3!$A$5:$A$200,0))/3,"")</x:f>
        <x:v>85018.4</x:v>
      </x:c>
      <x:c r="I17" s="162" t="n">
        <x:f>IF(COUNT(H6:H17)=12,SUM(H6:H17),"")</x:f>
        <x:v>1049995.5333333332</x:v>
      </x:c>
      <x:c r="J17" s="162" t="str">
        <x:f>IF(YEAR($A17)&lt;=2020,"",INDEX($G:$G,ROW()-12))</x:f>
      </x:c>
      <x:c r="K17" s="162" t="str">
        <x:f>IF(YEAR($A17)&lt;=2020,"",INDEX($I:$I,ROW()-12))</x:f>
      </x:c>
      <x:c r="L17" s="162" t="str">
        <x:f>IF(YEAR($A17)&lt;=2020,"",INDEX($E:$E,ROW()-12))</x:f>
      </x:c>
      <x:c r="M17" s="162" t="str">
        <x:f>IF(OR(G17="",J17=""),"",G17-J17)</x:f>
      </x:c>
      <x:c r="N17" s="162" t="str">
        <x:f>IF(OR(I17="",K17=""),"",I17-K17)</x:f>
      </x:c>
      <x:c r="O17" s="163" t="n">
        <x:f>IFERROR(INDEX(Sheet1!$B$5:$B$500,MATCH($A17,Sheet1!$A$5:$A$500,0)),"")</x:f>
        <x:v>0</x:v>
      </x:c>
      <x:c r="P17" s="163" t="n">
        <x:f>IFERROR(INDEX(Sheet1!$C$5:$C$500,MATCH($A17,Sheet1!$A$5:$A$500,0)),"")</x:f>
        <x:v>0</x:v>
      </x:c>
      <x:c r="Q17" s="163" t="n">
        <x:f>IFERROR(INDEX(Sheet1!$H$5:$H$500,MATCH($A17,Sheet1!$A$5:$A$500,0)),"")</x:f>
        <x:v>0</x:v>
      </x:c>
      <x:c r="R17" s="163" t="n">
        <x:f>IFERROR(INDEX(Sheet1!$I$5:$I$500,MATCH($A17,Sheet1!$A$5:$A$500,0)),"")</x:f>
        <x:v>0</x:v>
      </x:c>
    </x:row>
    <x:row r="18">
      <x:c r="A18" s="107" t="n">
        <x:v>44255</x:v>
      </x:c>
      <x:c r="B18" s="161" t="str">
        <x:f>IF(OR(C18="",D18=""),"",C18+D18)</x:f>
      </x:c>
      <x:c r="C18" s="161" t="str">
        <x:f>IF(OR(M18="",I18=""),"",M18/I18*100)</x:f>
      </x:c>
      <x:c r="D18" s="161" t="str">
        <x:f>IF(OR(L18="",N18="",I18=""),"",-L18*N18/I18)</x:f>
      </x:c>
      <x:c r="E18" s="161" t="n">
        <x:f>IF(OR(G18="",I18=""),"",G18/I18*100)</x:f>
        <x:v>7.249299744783916</x:v>
      </x:c>
      <x:c r="F18" s="162" t="n">
        <x:f>IF(OR(MONTH($A18)=1,O18="",P18="",Q18="",R18=""),"",P18+R18-O18-Q18)</x:f>
        <x:v>-7680</x:v>
      </x:c>
      <x:c r="G18" s="162" t="n">
        <x:f>IF(OR(YEAR($A18)&lt;=2020,F18=""),"",F18+INDEX($F:$F,ROW()-MONTH($A18))-INDEX($F:$F,ROW()-12))</x:f>
        <x:v>77214</x:v>
      </x:c>
      <x:c r="H18" s="163" t="n">
        <x:f>IFERROR(INDEX(Sheet3!$B$5:$B$200,MATCH(DATE(YEAR($A18),INT((MONTH($A18)-1)/3)*3+4,0),Sheet3!$A$5:$A$200,0))/3,"")</x:f>
        <x:v>85018.4</x:v>
      </x:c>
      <x:c r="I18" s="162" t="n">
        <x:f>IF(COUNT(H7:H18)=12,SUM(H7:H18),"")</x:f>
        <x:v>1065123.5666666667</x:v>
      </x:c>
      <x:c r="J18" s="162" t="str">
        <x:f>IF(YEAR($A18)&lt;=2020,"",INDEX($G:$G,ROW()-12))</x:f>
      </x:c>
      <x:c r="K18" s="162" t="str">
        <x:f>IF(YEAR($A18)&lt;=2020,"",INDEX($I:$I,ROW()-12))</x:f>
      </x:c>
      <x:c r="L18" s="162" t="str">
        <x:f>IF(YEAR($A18)&lt;=2020,"",INDEX($E:$E,ROW()-12))</x:f>
      </x:c>
      <x:c r="M18" s="162" t="str">
        <x:f>IF(OR(G18="",J18=""),"",G18-J18)</x:f>
      </x:c>
      <x:c r="N18" s="162" t="str">
        <x:f>IF(OR(I18="",K18=""),"",I18-K18)</x:f>
      </x:c>
      <x:c r="O18" s="163" t="n">
        <x:f>IFERROR(INDEX(Sheet1!$B$5:$B$500,MATCH($A18,Sheet1!$A$5:$A$500,0)),"")</x:f>
        <x:v>41805</x:v>
      </x:c>
      <x:c r="P18" s="163" t="n">
        <x:f>IFERROR(INDEX(Sheet1!$C$5:$C$500,MATCH($A18,Sheet1!$A$5:$A$500,0)),"")</x:f>
        <x:v>35733</x:v>
      </x:c>
      <x:c r="Q18" s="163" t="n">
        <x:f>IFERROR(INDEX(Sheet1!$H$5:$H$500,MATCH($A18,Sheet1!$A$5:$A$500,0)),"")</x:f>
        <x:v>12585</x:v>
      </x:c>
      <x:c r="R18" s="163" t="n">
        <x:f>IFERROR(INDEX(Sheet1!$I$5:$I$500,MATCH($A18,Sheet1!$A$5:$A$500,0)),"")</x:f>
        <x:v>10977</x:v>
      </x:c>
    </x:row>
    <x:row r="19">
      <x:c r="A19" s="107" t="n">
        <x:v>44286</x:v>
      </x:c>
      <x:c r="B19" s="161" t="str">
        <x:f>IF(OR(C19="",D19=""),"",C19+D19)</x:f>
      </x:c>
      <x:c r="C19" s="161" t="str">
        <x:f>IF(OR(M19="",I19=""),"",M19/I19*100)</x:f>
      </x:c>
      <x:c r="D19" s="161" t="str">
        <x:f>IF(OR(L19="",N19="",I19=""),"",-L19*N19/I19)</x:f>
      </x:c>
      <x:c r="E19" s="161" t="n">
        <x:f>IF(OR(G19="",I19=""),"",G19/I19*100)</x:f>
        <x:v>6.576708611216128</x:v>
      </x:c>
      <x:c r="F19" s="162" t="n">
        <x:f>IF(OR(MONTH($A19)=1,O19="",P19="",Q19="",R19=""),"",P19+R19-O19-Q19)</x:f>
        <x:v>314</x:v>
      </x:c>
      <x:c r="G19" s="162" t="n">
        <x:f>IF(OR(YEAR($A19)&lt;=2020,F19=""),"",F19+INDEX($F:$F,ROW()-MONTH($A19))-INDEX($F:$F,ROW()-12))</x:f>
        <x:v>71045</x:v>
      </x:c>
      <x:c r="H19" s="163" t="n">
        <x:f>IFERROR(INDEX(Sheet3!$B$5:$B$200,MATCH(DATE(YEAR($A19),INT((MONTH($A19)-1)/3)*3+4,0),Sheet3!$A$5:$A$200,0))/3,"")</x:f>
        <x:v>85018.4</x:v>
      </x:c>
      <x:c r="I19" s="162" t="n">
        <x:f>IF(COUNT(H8:H19)=12,SUM(H8:H19),"")</x:f>
        <x:v>1080251.5999999999</x:v>
      </x:c>
      <x:c r="J19" s="162" t="str">
        <x:f>IF(YEAR($A19)&lt;=2020,"",INDEX($G:$G,ROW()-12))</x:f>
      </x:c>
      <x:c r="K19" s="162" t="str">
        <x:f>IF(YEAR($A19)&lt;=2020,"",INDEX($I:$I,ROW()-12))</x:f>
      </x:c>
      <x:c r="L19" s="162" t="str">
        <x:f>IF(YEAR($A19)&lt;=2020,"",INDEX($E:$E,ROW()-12))</x:f>
      </x:c>
      <x:c r="M19" s="162" t="str">
        <x:f>IF(OR(G19="",J19=""),"",G19-J19)</x:f>
      </x:c>
      <x:c r="N19" s="162" t="str">
        <x:f>IF(OR(I19="",K19=""),"",I19-K19)</x:f>
      </x:c>
      <x:c r="O19" s="163" t="n">
        <x:f>IFERROR(INDEX(Sheet1!$B$5:$B$500,MATCH($A19,Sheet1!$A$5:$A$500,0)),"")</x:f>
        <x:v>57115</x:v>
      </x:c>
      <x:c r="P19" s="163" t="n">
        <x:f>IFERROR(INDEX(Sheet1!$C$5:$C$500,MATCH($A19,Sheet1!$A$5:$A$500,0)),"")</x:f>
        <x:v>58703</x:v>
      </x:c>
      <x:c r="Q19" s="163" t="n">
        <x:f>IFERROR(INDEX(Sheet1!$H$5:$H$500,MATCH($A19,Sheet1!$A$5:$A$500,0)),"")</x:f>
        <x:v>18605</x:v>
      </x:c>
      <x:c r="R19" s="163" t="n">
        <x:f>IFERROR(INDEX(Sheet1!$I$5:$I$500,MATCH($A19,Sheet1!$A$5:$A$500,0)),"")</x:f>
        <x:v>17331</x:v>
      </x:c>
    </x:row>
    <x:row r="20">
      <x:c r="A20" s="107" t="n">
        <x:v>44316</x:v>
      </x:c>
      <x:c r="B20" s="161" t="str">
        <x:f>IF(OR(C20="",D20=""),"",C20+D20)</x:f>
      </x:c>
      <x:c r="C20" s="161" t="str">
        <x:f>IF(OR(M20="",I20=""),"",M20/I20*100)</x:f>
      </x:c>
      <x:c r="D20" s="161" t="str">
        <x:f>IF(OR(L20="",N20="",I20=""),"",-L20*N20/I20)</x:f>
      </x:c>
      <x:c r="E20" s="161" t="n">
        <x:f>IF(OR(G20="",I20=""),"",G20/I20*100)</x:f>
        <x:v>5.966871880423192</x:v>
      </x:c>
      <x:c r="F20" s="162" t="n">
        <x:f>IF(OR(MONTH($A20)=1,O20="",P20="",Q20="",R20=""),"",P20+R20-O20-Q20)</x:f>
        <x:v>-2600</x:v>
      </x:c>
      <x:c r="G20" s="162" t="n">
        <x:f>IF(OR(YEAR($A20)&lt;=2020,F20=""),"",F20+INDEX($F:$F,ROW()-MONTH($A20))-INDEX($F:$F,ROW()-12))</x:f>
        <x:v>65144</x:v>
      </x:c>
      <x:c r="H20" s="163" t="n">
        <x:f>IFERROR(INDEX(Sheet3!$B$5:$B$200,MATCH(DATE(YEAR($A20),INT((MONTH($A20)-1)/3)*3+4,0),Sheet3!$A$5:$A$200,0))/3,"")</x:f>
        <x:v>95993.06666666667</x:v>
      </x:c>
      <x:c r="I20" s="162" t="n">
        <x:f>IF(COUNT(H9:H20)=12,SUM(H9:H20),"")</x:f>
        <x:v>1091761.3333333335</x:v>
      </x:c>
      <x:c r="J20" s="162" t="str">
        <x:f>IF(YEAR($A20)&lt;=2020,"",INDEX($G:$G,ROW()-12))</x:f>
      </x:c>
      <x:c r="K20" s="162" t="str">
        <x:f>IF(YEAR($A20)&lt;=2020,"",INDEX($I:$I,ROW()-12))</x:f>
      </x:c>
      <x:c r="L20" s="162" t="str">
        <x:f>IF(YEAR($A20)&lt;=2020,"",INDEX($E:$E,ROW()-12))</x:f>
      </x:c>
      <x:c r="M20" s="162" t="str">
        <x:f>IF(OR(G20="",J20=""),"",G20-J20)</x:f>
      </x:c>
      <x:c r="N20" s="162" t="str">
        <x:f>IF(OR(I20="",K20=""),"",I20-K20)</x:f>
      </x:c>
      <x:c r="O20" s="163" t="n">
        <x:f>IFERROR(INDEX(Sheet1!$B$5:$B$500,MATCH($A20,Sheet1!$A$5:$A$500,0)),"")</x:f>
        <x:v>78008</x:v>
      </x:c>
      <x:c r="P20" s="163" t="n">
        <x:f>IFERROR(INDEX(Sheet1!$C$5:$C$500,MATCH($A20,Sheet1!$A$5:$A$500,0)),"")</x:f>
        <x:v>76396</x:v>
      </x:c>
      <x:c r="Q20" s="163" t="n">
        <x:f>IFERROR(INDEX(Sheet1!$H$5:$H$500,MATCH($A20,Sheet1!$A$5:$A$500,0)),"")</x:f>
        <x:v>24277</x:v>
      </x:c>
      <x:c r="R20" s="163" t="n">
        <x:f>IFERROR(INDEX(Sheet1!$I$5:$I$500,MATCH($A20,Sheet1!$A$5:$A$500,0)),"")</x:f>
        <x:v>23289</x:v>
      </x:c>
    </x:row>
    <x:row r="21">
      <x:c r="A21" s="107" t="n">
        <x:v>44347</x:v>
      </x:c>
      <x:c r="B21" s="161" t="str">
        <x:f>IF(OR(C21="",D21=""),"",C21+D21)</x:f>
      </x:c>
      <x:c r="C21" s="161" t="str">
        <x:f>IF(OR(M21="",I21=""),"",M21/I21*100)</x:f>
      </x:c>
      <x:c r="D21" s="161" t="str">
        <x:f>IF(OR(L21="",N21="",I21=""),"",-L21*N21/I21)</x:f>
      </x:c>
      <x:c r="E21" s="161" t="n">
        <x:f>IF(OR(G21="",I21=""),"",G21/I21*100)</x:f>
        <x:v>5.7454601969682155</x:v>
      </x:c>
      <x:c r="F21" s="162" t="n">
        <x:f>IF(OR(MONTH($A21)=1,O21="",P21="",Q21="",R21=""),"",P21+R21-O21-Q21)</x:f>
        <x:v>-2991</x:v>
      </x:c>
      <x:c r="G21" s="162" t="n">
        <x:f>IF(OR(YEAR($A21)&lt;=2020,F21=""),"",F21+INDEX($F:$F,ROW()-MONTH($A21))-INDEX($F:$F,ROW()-12))</x:f>
        <x:v>63388</x:v>
      </x:c>
      <x:c r="H21" s="163" t="n">
        <x:f>IFERROR(INDEX(Sheet3!$B$5:$B$200,MATCH(DATE(YEAR($A21),INT((MONTH($A21)-1)/3)*3+4,0),Sheet3!$A$5:$A$200,0))/3,"")</x:f>
        <x:v>95993.06666666667</x:v>
      </x:c>
      <x:c r="I21" s="162" t="n">
        <x:f>IF(COUNT(H10:H21)=12,SUM(H10:H21),"")</x:f>
        <x:v>1103271.0666666667</x:v>
      </x:c>
      <x:c r="J21" s="162" t="str">
        <x:f>IF(YEAR($A21)&lt;=2020,"",INDEX($G:$G,ROW()-12))</x:f>
      </x:c>
      <x:c r="K21" s="162" t="str">
        <x:f>IF(YEAR($A21)&lt;=2020,"",INDEX($I:$I,ROW()-12))</x:f>
      </x:c>
      <x:c r="L21" s="162" t="str">
        <x:f>IF(YEAR($A21)&lt;=2020,"",INDEX($E:$E,ROW()-12))</x:f>
      </x:c>
      <x:c r="M21" s="162" t="str">
        <x:f>IF(OR(G21="",J21=""),"",G21-J21)</x:f>
      </x:c>
      <x:c r="N21" s="162" t="str">
        <x:f>IF(OR(I21="",K21=""),"",I21-K21)</x:f>
      </x:c>
      <x:c r="O21" s="163" t="n">
        <x:f>IFERROR(INDEX(Sheet1!$B$5:$B$500,MATCH($A21,Sheet1!$A$5:$A$500,0)),"")</x:f>
        <x:v>96454</x:v>
      </x:c>
      <x:c r="P21" s="163" t="n">
        <x:f>IFERROR(INDEX(Sheet1!$C$5:$C$500,MATCH($A21,Sheet1!$A$5:$A$500,0)),"")</x:f>
        <x:v>93553</x:v>
      </x:c>
      <x:c r="Q21" s="163" t="n">
        <x:f>IFERROR(INDEX(Sheet1!$H$5:$H$500,MATCH($A21,Sheet1!$A$5:$A$500,0)),"")</x:f>
        <x:v>29704</x:v>
      </x:c>
      <x:c r="R21" s="163" t="n">
        <x:f>IFERROR(INDEX(Sheet1!$I$5:$I$500,MATCH($A21,Sheet1!$A$5:$A$500,0)),"")</x:f>
        <x:v>29614</x:v>
      </x:c>
    </x:row>
    <x:row r="22">
      <x:c r="A22" s="107" t="n">
        <x:v>44377</x:v>
      </x:c>
      <x:c r="B22" s="161" t="str">
        <x:f>IF(OR(C22="",D22=""),"",C22+D22)</x:f>
      </x:c>
      <x:c r="C22" s="161" t="str">
        <x:f>IF(OR(M22="",I22=""),"",M22/I22*100)</x:f>
      </x:c>
      <x:c r="D22" s="161" t="str">
        <x:f>IF(OR(L22="",N22="",I22=""),"",-L22*N22/I22)</x:f>
      </x:c>
      <x:c r="E22" s="161" t="n">
        <x:f>IF(OR(G22="",I22=""),"",G22/I22*100)</x:f>
        <x:v>5.419540774293924</x:v>
      </x:c>
      <x:c r="F22" s="162" t="n">
        <x:f>IF(OR(MONTH($A22)=1,O22="",P22="",Q22="",R22=""),"",P22+R22-O22-Q22)</x:f>
        <x:v>7181</x:v>
      </x:c>
      <x:c r="G22" s="162" t="n">
        <x:f>IF(OR(YEAR($A22)&lt;=2020,F22=""),"",F22+INDEX($F:$F,ROW()-MONTH($A22))-INDEX($F:$F,ROW()-12))</x:f>
        <x:v>60416</x:v>
      </x:c>
      <x:c r="H22" s="163" t="n">
        <x:f>IFERROR(INDEX(Sheet3!$B$5:$B$200,MATCH(DATE(YEAR($A22),INT((MONTH($A22)-1)/3)*3+4,0),Sheet3!$A$5:$A$200,0))/3,"")</x:f>
        <x:v>95993.06666666667</x:v>
      </x:c>
      <x:c r="I22" s="162" t="n">
        <x:f>IF(COUNT(H11:H22)=12,SUM(H11:H22),"")</x:f>
        <x:v>1114780.8</x:v>
      </x:c>
      <x:c r="J22" s="162" t="str">
        <x:f>IF(YEAR($A22)&lt;=2020,"",INDEX($G:$G,ROW()-12))</x:f>
      </x:c>
      <x:c r="K22" s="162" t="str">
        <x:f>IF(YEAR($A22)&lt;=2020,"",INDEX($I:$I,ROW()-12))</x:f>
      </x:c>
      <x:c r="L22" s="162" t="str">
        <x:f>IF(YEAR($A22)&lt;=2020,"",INDEX($E:$E,ROW()-12))</x:f>
      </x:c>
      <x:c r="M22" s="162" t="str">
        <x:f>IF(OR(G22="",J22=""),"",G22-J22)</x:f>
      </x:c>
      <x:c r="N22" s="162" t="str">
        <x:f>IF(OR(I22="",K22=""),"",I22-K22)</x:f>
      </x:c>
      <x:c r="O22" s="163" t="n">
        <x:f>IFERROR(INDEX(Sheet1!$B$5:$B$500,MATCH($A22,Sheet1!$A$5:$A$500,0)),"")</x:f>
        <x:v>117116</x:v>
      </x:c>
      <x:c r="P22" s="163" t="n">
        <x:f>IFERROR(INDEX(Sheet1!$C$5:$C$500,MATCH($A22,Sheet1!$A$5:$A$500,0)),"")</x:f>
        <x:v>121676</x:v>
      </x:c>
      <x:c r="Q22" s="163" t="n">
        <x:f>IFERROR(INDEX(Sheet1!$H$5:$H$500,MATCH($A22,Sheet1!$A$5:$A$500,0)),"")</x:f>
        <x:v>39078</x:v>
      </x:c>
      <x:c r="R22" s="163" t="n">
        <x:f>IFERROR(INDEX(Sheet1!$I$5:$I$500,MATCH($A22,Sheet1!$A$5:$A$500,0)),"")</x:f>
        <x:v>41699</x:v>
      </x:c>
    </x:row>
    <x:row r="23">
      <x:c r="A23" s="107" t="n">
        <x:v>44408</x:v>
      </x:c>
      <x:c r="B23" s="161" t="str">
        <x:f>IF(OR(C23="",D23=""),"",C23+D23)</x:f>
      </x:c>
      <x:c r="C23" s="161" t="str">
        <x:f>IF(OR(M23="",I23=""),"",M23/I23*100)</x:f>
      </x:c>
      <x:c r="D23" s="161" t="str">
        <x:f>IF(OR(L23="",N23="",I23=""),"",-L23*N23/I23)</x:f>
      </x:c>
      <x:c r="E23" s="161" t="n">
        <x:f>IF(OR(G23="",I23=""),"",G23/I23*100)</x:f>
        <x:v>5.090864083767671</x:v>
      </x:c>
      <x:c r="F23" s="162" t="n">
        <x:f>IF(OR(MONTH($A23)=1,O23="",P23="",Q23="",R23=""),"",P23+R23-O23-Q23)</x:f>
        <x:v>2611</x:v>
      </x:c>
      <x:c r="G23" s="162" t="n">
        <x:f>IF(OR(YEAR($A23)&lt;=2020,F23=""),"",F23+INDEX($F:$F,ROW()-MONTH($A23))-INDEX($F:$F,ROW()-12))</x:f>
        <x:v>57228</x:v>
      </x:c>
      <x:c r="H23" s="163" t="n">
        <x:f>IFERROR(INDEX(Sheet3!$B$5:$B$200,MATCH(DATE(YEAR($A23),INT((MONTH($A23)-1)/3)*3+4,0),Sheet3!$A$5:$A$200,0))/3,"")</x:f>
        <x:v>99320.63333333333</x:v>
      </x:c>
      <x:c r="I23" s="162" t="n">
        <x:f>IF(COUNT(H12:H23)=12,SUM(H12:H23),"")</x:f>
        <x:v>1124131.3666666667</x:v>
      </x:c>
      <x:c r="J23" s="162" t="str">
        <x:f>IF(YEAR($A23)&lt;=2020,"",INDEX($G:$G,ROW()-12))</x:f>
      </x:c>
      <x:c r="K23" s="162" t="str">
        <x:f>IF(YEAR($A23)&lt;=2020,"",INDEX($I:$I,ROW()-12))</x:f>
      </x:c>
      <x:c r="L23" s="162" t="str">
        <x:f>IF(YEAR($A23)&lt;=2020,"",INDEX($E:$E,ROW()-12))</x:f>
      </x:c>
      <x:c r="M23" s="162" t="str">
        <x:f>IF(OR(G23="",J23=""),"",G23-J23)</x:f>
      </x:c>
      <x:c r="N23" s="162" t="str">
        <x:f>IF(OR(I23="",K23=""),"",I23-K23)</x:f>
      </x:c>
      <x:c r="O23" s="163" t="n">
        <x:f>IFERROR(INDEX(Sheet1!$B$5:$B$500,MATCH($A23,Sheet1!$A$5:$A$500,0)),"")</x:f>
        <x:v>137716</x:v>
      </x:c>
      <x:c r="P23" s="163" t="n">
        <x:f>IFERROR(INDEX(Sheet1!$C$5:$C$500,MATCH($A23,Sheet1!$A$5:$A$500,0)),"")</x:f>
        <x:v>137928</x:v>
      </x:c>
      <x:c r="Q23" s="163" t="n">
        <x:f>IFERROR(INDEX(Sheet1!$H$5:$H$500,MATCH($A23,Sheet1!$A$5:$A$500,0)),"")</x:f>
        <x:v>46967</x:v>
      </x:c>
      <x:c r="R23" s="163" t="n">
        <x:f>IFERROR(INDEX(Sheet1!$I$5:$I$500,MATCH($A23,Sheet1!$A$5:$A$500,0)),"")</x:f>
        <x:v>49366</x:v>
      </x:c>
    </x:row>
    <x:row r="24">
      <x:c r="A24" s="107" t="n">
        <x:v>44439</x:v>
      </x:c>
      <x:c r="B24" s="161" t="str">
        <x:f>IF(OR(C24="",D24=""),"",C24+D24)</x:f>
      </x:c>
      <x:c r="C24" s="161" t="str">
        <x:f>IF(OR(M24="",I24=""),"",M24/I24*100)</x:f>
      </x:c>
      <x:c r="D24" s="161" t="str">
        <x:f>IF(OR(L24="",N24="",I24=""),"",-L24*N24/I24)</x:f>
      </x:c>
      <x:c r="E24" s="161" t="n">
        <x:f>IF(OR(G24="",I24=""),"",G24/I24*100)</x:f>
        <x:v>5.116093895688619</x:v>
      </x:c>
      <x:c r="F24" s="162" t="n">
        <x:f>IF(OR(MONTH($A24)=1,O24="",P24="",Q24="",R24=""),"",P24+R24-O24-Q24)</x:f>
        <x:v>10803</x:v>
      </x:c>
      <x:c r="G24" s="162" t="n">
        <x:f>IF(OR(YEAR($A24)&lt;=2020,F24=""),"",F24+INDEX($F:$F,ROW()-MONTH($A24))-INDEX($F:$F,ROW()-12))</x:f>
        <x:v>57990</x:v>
      </x:c>
      <x:c r="H24" s="163" t="n">
        <x:f>IFERROR(INDEX(Sheet3!$B$5:$B$200,MATCH(DATE(YEAR($A24),INT((MONTH($A24)-1)/3)*3+4,0),Sheet3!$A$5:$A$200,0))/3,"")</x:f>
        <x:v>99320.63333333333</x:v>
      </x:c>
      <x:c r="I24" s="162" t="n">
        <x:f>IF(COUNT(H13:H24)=12,SUM(H13:H24),"")</x:f>
        <x:v>1133481.9333333333</x:v>
      </x:c>
      <x:c r="J24" s="162" t="str">
        <x:f>IF(YEAR($A24)&lt;=2020,"",INDEX($G:$G,ROW()-12))</x:f>
      </x:c>
      <x:c r="K24" s="162" t="str">
        <x:f>IF(YEAR($A24)&lt;=2020,"",INDEX($I:$I,ROW()-12))</x:f>
      </x:c>
      <x:c r="L24" s="162" t="str">
        <x:f>IF(YEAR($A24)&lt;=2020,"",INDEX($E:$E,ROW()-12))</x:f>
      </x:c>
      <x:c r="M24" s="162" t="str">
        <x:f>IF(OR(G24="",J24=""),"",G24-J24)</x:f>
      </x:c>
      <x:c r="N24" s="162" t="str">
        <x:f>IF(OR(I24="",K24=""),"",I24-K24)</x:f>
      </x:c>
      <x:c r="O24" s="163" t="n">
        <x:f>IFERROR(INDEX(Sheet1!$B$5:$B$500,MATCH($A24,Sheet1!$A$5:$A$500,0)),"")</x:f>
        <x:v>150088</x:v>
      </x:c>
      <x:c r="P24" s="163" t="n">
        <x:f>IFERROR(INDEX(Sheet1!$C$5:$C$500,MATCH($A24,Sheet1!$A$5:$A$500,0)),"")</x:f>
        <x:v>155371</x:v>
      </x:c>
      <x:c r="Q24" s="163" t="n">
        <x:f>IFERROR(INDEX(Sheet1!$H$5:$H$500,MATCH($A24,Sheet1!$A$5:$A$500,0)),"")</x:f>
        <x:v>53693</x:v>
      </x:c>
      <x:c r="R24" s="163" t="n">
        <x:f>IFERROR(INDEX(Sheet1!$I$5:$I$500,MATCH($A24,Sheet1!$A$5:$A$500,0)),"")</x:f>
        <x:v>59213</x:v>
      </x:c>
    </x:row>
    <x:row r="25">
      <x:c r="A25" s="107" t="n">
        <x:v>44469</x:v>
      </x:c>
      <x:c r="B25" s="161" t="str">
        <x:f>IF(OR(C25="",D25=""),"",C25+D25)</x:f>
      </x:c>
      <x:c r="C25" s="161" t="str">
        <x:f>IF(OR(M25="",I25=""),"",M25/I25*100)</x:f>
      </x:c>
      <x:c r="D25" s="161" t="str">
        <x:f>IF(OR(L25="",N25="",I25=""),"",-L25*N25/I25)</x:f>
      </x:c>
      <x:c r="E25" s="161" t="n">
        <x:f>IF(OR(G25="",I25=""),"",G25/I25*100)</x:f>
        <x:v>4.868342473634588</x:v>
      </x:c>
      <x:c r="F25" s="162" t="n">
        <x:f>IF(OR(MONTH($A25)=1,O25="",P25="",Q25="",R25=""),"",P25+R25-O25-Q25)</x:f>
        <x:v>25628</x:v>
      </x:c>
      <x:c r="G25" s="162" t="n">
        <x:f>IF(OR(YEAR($A25)&lt;=2020,F25=""),"",F25+INDEX($F:$F,ROW()-MONTH($A25))-INDEX($F:$F,ROW()-12))</x:f>
        <x:v>55637</x:v>
      </x:c>
      <x:c r="H25" s="163" t="n">
        <x:f>IFERROR(INDEX(Sheet3!$B$5:$B$200,MATCH(DATE(YEAR($A25),INT((MONTH($A25)-1)/3)*3+4,0),Sheet3!$A$5:$A$200,0))/3,"")</x:f>
        <x:v>99320.63333333333</x:v>
      </x:c>
      <x:c r="I25" s="162" t="n">
        <x:f>IF(COUNT(H14:H25)=12,SUM(H14:H25),"")</x:f>
        <x:v>1142832.5</x:v>
      </x:c>
      <x:c r="J25" s="162" t="str">
        <x:f>IF(YEAR($A25)&lt;=2020,"",INDEX($G:$G,ROW()-12))</x:f>
      </x:c>
      <x:c r="K25" s="162" t="str">
        <x:f>IF(YEAR($A25)&lt;=2020,"",INDEX($I:$I,ROW()-12))</x:f>
      </x:c>
      <x:c r="L25" s="162" t="str">
        <x:f>IF(YEAR($A25)&lt;=2020,"",INDEX($E:$E,ROW()-12))</x:f>
      </x:c>
      <x:c r="M25" s="162" t="str">
        <x:f>IF(OR(G25="",J25=""),"",G25-J25)</x:f>
      </x:c>
      <x:c r="N25" s="162" t="str">
        <x:f>IF(OR(I25="",K25=""),"",I25-K25)</x:f>
      </x:c>
      <x:c r="O25" s="163" t="n">
        <x:f>IFERROR(INDEX(Sheet1!$B$5:$B$500,MATCH($A25,Sheet1!$A$5:$A$500,0)),"")</x:f>
        <x:v>164020</x:v>
      </x:c>
      <x:c r="P25" s="163" t="n">
        <x:f>IFERROR(INDEX(Sheet1!$C$5:$C$500,MATCH($A25,Sheet1!$A$5:$A$500,0)),"")</x:f>
        <x:v>179293</x:v>
      </x:c>
      <x:c r="Q25" s="163" t="n">
        <x:f>IFERROR(INDEX(Sheet1!$H$5:$H$500,MATCH($A25,Sheet1!$A$5:$A$500,0)),"")</x:f>
        <x:v>61018</x:v>
      </x:c>
      <x:c r="R25" s="163" t="n">
        <x:f>IFERROR(INDEX(Sheet1!$I$5:$I$500,MATCH($A25,Sheet1!$A$5:$A$500,0)),"")</x:f>
        <x:v>71373</x:v>
      </x:c>
    </x:row>
    <x:row r="26">
      <x:c r="A26" s="107" t="n">
        <x:v>44500</x:v>
      </x:c>
      <x:c r="B26" s="161" t="str">
        <x:f>IF(OR(C26="",D26=""),"",C26+D26)</x:f>
      </x:c>
      <x:c r="C26" s="161" t="str">
        <x:f>IF(OR(M26="",I26=""),"",M26/I26*100)</x:f>
      </x:c>
      <x:c r="D26" s="161" t="str">
        <x:f>IF(OR(L26="",N26="",I26=""),"",-L26*N26/I26)</x:f>
      </x:c>
      <x:c r="E26" s="161" t="n">
        <x:f>IF(OR(G26="",I26=""),"",G26/I26*100)</x:f>
        <x:v>4.895579923965628</x:v>
      </x:c>
      <x:c r="F26" s="162" t="n">
        <x:f>IF(OR(MONTH($A26)=1,O26="",P26="",Q26="",R26=""),"",P26+R26-O26-Q26)</x:f>
        <x:v>23131</x:v>
      </x:c>
      <x:c r="G26" s="162" t="n">
        <x:f>IF(OR(YEAR($A26)&lt;=2020,F26=""),"",F26+INDEX($F:$F,ROW()-MONTH($A26))-INDEX($F:$F,ROW()-12))</x:f>
        <x:v>56454</x:v>
      </x:c>
      <x:c r="H26" s="163" t="n">
        <x:f>IFERROR(INDEX(Sheet3!$B$5:$B$200,MATCH(DATE(YEAR($A26),INT((MONTH($A26)-1)/3)*3+4,0),Sheet3!$A$5:$A$200,0))/3,"")</x:f>
        <x:v>110942.23333333334</x:v>
      </x:c>
      <x:c r="I26" s="162" t="n">
        <x:f>IF(COUNT(H15:H26)=12,SUM(H15:H26),"")</x:f>
        <x:v>1153162.6666666665</x:v>
      </x:c>
      <x:c r="J26" s="162" t="str">
        <x:f>IF(YEAR($A26)&lt;=2020,"",INDEX($G:$G,ROW()-12))</x:f>
      </x:c>
      <x:c r="K26" s="162" t="str">
        <x:f>IF(YEAR($A26)&lt;=2020,"",INDEX($I:$I,ROW()-12))</x:f>
      </x:c>
      <x:c r="L26" s="162" t="str">
        <x:f>IF(YEAR($A26)&lt;=2020,"",INDEX($E:$E,ROW()-12))</x:f>
      </x:c>
      <x:c r="M26" s="162" t="str">
        <x:f>IF(OR(G26="",J26=""),"",G26-J26)</x:f>
      </x:c>
      <x:c r="N26" s="162" t="str">
        <x:f>IF(OR(I26="",K26=""),"",I26-K26)</x:f>
      </x:c>
      <x:c r="O26" s="163" t="n">
        <x:f>IFERROR(INDEX(Sheet1!$B$5:$B$500,MATCH($A26,Sheet1!$A$5:$A$500,0)),"")</x:f>
        <x:v>181526</x:v>
      </x:c>
      <x:c r="P26" s="163" t="n">
        <x:f>IFERROR(INDEX(Sheet1!$C$5:$C$500,MATCH($A26,Sheet1!$A$5:$A$500,0)),"")</x:f>
        <x:v>193961</x:v>
      </x:c>
      <x:c r="Q26" s="163" t="n">
        <x:f>IFERROR(INDEX(Sheet1!$H$5:$H$500,MATCH($A26,Sheet1!$A$5:$A$500,0)),"")</x:f>
        <x:v>67459</x:v>
      </x:c>
      <x:c r="R26" s="163" t="n">
        <x:f>IFERROR(INDEX(Sheet1!$I$5:$I$500,MATCH($A26,Sheet1!$A$5:$A$500,0)),"")</x:f>
        <x:v>78155</x:v>
      </x:c>
    </x:row>
    <x:row r="27">
      <x:c r="A27" s="107" t="n">
        <x:v>44530</x:v>
      </x:c>
      <x:c r="B27" s="161" t="str">
        <x:f>IF(OR(C27="",D27=""),"",C27+D27)</x:f>
      </x:c>
      <x:c r="C27" s="161" t="str">
        <x:f>IF(OR(M27="",I27=""),"",M27/I27*100)</x:f>
      </x:c>
      <x:c r="D27" s="161" t="str">
        <x:f>IF(OR(L27="",N27="",I27=""),"",-L27*N27/I27)</x:f>
      </x:c>
      <x:c r="E27" s="161" t="n">
        <x:f>IF(OR(G27="",I27=""),"",G27/I27*100)</x:f>
        <x:v>5.416535297381148</x:v>
      </x:c>
      <x:c r="F27" s="162" t="n">
        <x:f>IF(OR(MONTH($A27)=1,O27="",P27="",Q27="",R27=""),"",P27+R27-O27-Q27)</x:f>
        <x:v>37056</x:v>
      </x:c>
      <x:c r="G27" s="162" t="n">
        <x:f>IF(OR(YEAR($A27)&lt;=2020,F27=""),"",F27+INDEX($F:$F,ROW()-MONTH($A27))-INDEX($F:$F,ROW()-12))</x:f>
        <x:v>63021</x:v>
      </x:c>
      <x:c r="H27" s="163" t="n">
        <x:f>IFERROR(INDEX(Sheet3!$B$5:$B$200,MATCH(DATE(YEAR($A27),INT((MONTH($A27)-1)/3)*3+4,0),Sheet3!$A$5:$A$200,0))/3,"")</x:f>
        <x:v>110942.23333333334</x:v>
      </x:c>
      <x:c r="I27" s="162" t="n">
        <x:f>IF(COUNT(H16:H27)=12,SUM(H16:H27),"")</x:f>
        <x:v>1163492.8333333333</x:v>
      </x:c>
      <x:c r="J27" s="162" t="str">
        <x:f>IF(YEAR($A27)&lt;=2020,"",INDEX($G:$G,ROW()-12))</x:f>
      </x:c>
      <x:c r="K27" s="162" t="str">
        <x:f>IF(YEAR($A27)&lt;=2020,"",INDEX($I:$I,ROW()-12))</x:f>
      </x:c>
      <x:c r="L27" s="162" t="str">
        <x:f>IF(YEAR($A27)&lt;=2020,"",INDEX($E:$E,ROW()-12))</x:f>
      </x:c>
      <x:c r="M27" s="162" t="str">
        <x:f>IF(OR(G27="",J27=""),"",G27-J27)</x:f>
      </x:c>
      <x:c r="N27" s="162" t="str">
        <x:f>IF(OR(I27="",K27=""),"",I27-K27)</x:f>
      </x:c>
      <x:c r="O27" s="163" t="n">
        <x:f>IFERROR(INDEX(Sheet1!$B$5:$B$500,MATCH($A27,Sheet1!$A$5:$A$500,0)),"")</x:f>
        <x:v>191252</x:v>
      </x:c>
      <x:c r="P27" s="163" t="n">
        <x:f>IFERROR(INDEX(Sheet1!$C$5:$C$500,MATCH($A27,Sheet1!$A$5:$A$500,0)),"")</x:f>
        <x:v>213924</x:v>
      </x:c>
      <x:c r="Q27" s="163" t="n">
        <x:f>IFERROR(INDEX(Sheet1!$H$5:$H$500,MATCH($A27,Sheet1!$A$5:$A$500,0)),"")</x:f>
        <x:v>76614</x:v>
      </x:c>
      <x:c r="R27" s="163" t="n">
        <x:f>IFERROR(INDEX(Sheet1!$I$5:$I$500,MATCH($A27,Sheet1!$A$5:$A$500,0)),"")</x:f>
        <x:v>90998</x:v>
      </x:c>
    </x:row>
    <x:row r="28">
      <x:c r="A28" s="107" t="n">
        <x:v>44561</x:v>
      </x:c>
      <x:c r="B28" s="161" t="str">
        <x:f>IF(OR(C28="",D28=""),"",C28+D28)</x:f>
      </x:c>
      <x:c r="C28" s="161" t="str">
        <x:f>IF(OR(M28="",I28=""),"",M28/I28*100)</x:f>
      </x:c>
      <x:c r="D28" s="161" t="str">
        <x:f>IF(OR(L28="",N28="",I28=""),"",-L28*N28/I28)</x:f>
      </x:c>
      <x:c r="E28" s="161" t="n">
        <x:f>IF(OR(G28="",I28=""),"",G28/I28*100)</x:f>
        <x:v>5.062091984907435</x:v>
      </x:c>
      <x:c r="F28" s="162" t="n">
        <x:f>IF(OR(MONTH($A28)=1,O28="",P28="",Q28="",R28=""),"",P28+R28-O28-Q28)</x:f>
        <x:v>59420</x:v>
      </x:c>
      <x:c r="G28" s="162" t="n">
        <x:f>IF(OR(YEAR($A28)&lt;=2020,F28=""),"",F28+INDEX($F:$F,ROW()-MONTH($A28))-INDEX($F:$F,ROW()-12))</x:f>
        <x:v>59420</x:v>
      </x:c>
      <x:c r="H28" s="163" t="n">
        <x:f>IFERROR(INDEX(Sheet3!$B$5:$B$200,MATCH(DATE(YEAR($A28),INT((MONTH($A28)-1)/3)*3+4,0),Sheet3!$A$5:$A$200,0))/3,"")</x:f>
        <x:v>110942.23333333334</x:v>
      </x:c>
      <x:c r="I28" s="162" t="n">
        <x:f>IF(COUNT(H17:H28)=12,SUM(H17:H28),"")</x:f>
        <x:v>1173823</x:v>
      </x:c>
      <x:c r="J28" s="162" t="str">
        <x:f>IF(YEAR($A28)&lt;=2020,"",INDEX($G:$G,ROW()-12))</x:f>
      </x:c>
      <x:c r="K28" s="162" t="n">
        <x:f>IF(YEAR($A28)&lt;=2020,"",INDEX($I:$I,ROW()-12))</x:f>
        <x:v>1034867.4999999999</x:v>
      </x:c>
      <x:c r="L28" s="162" t="str">
        <x:f>IF(YEAR($A28)&lt;=2020,"",INDEX($E:$E,ROW()-12))</x:f>
      </x:c>
      <x:c r="M28" s="162" t="str">
        <x:f>IF(OR(G28="",J28=""),"",G28-J28)</x:f>
      </x:c>
      <x:c r="N28" s="162" t="n">
        <x:f>IF(OR(I28="",K28=""),"",I28-K28)</x:f>
        <x:v>138955.50000000012</x:v>
      </x:c>
      <x:c r="O28" s="163" t="n">
        <x:f>IFERROR(INDEX(Sheet1!$B$5:$B$500,MATCH($A28,Sheet1!$A$5:$A$500,0)),"")</x:f>
        <x:v>202539</x:v>
      </x:c>
      <x:c r="P28" s="163" t="n">
        <x:f>IFERROR(INDEX(Sheet1!$C$5:$C$500,MATCH($A28,Sheet1!$A$5:$A$500,0)),"")</x:f>
        <x:v>246322</x:v>
      </x:c>
      <x:c r="Q28" s="163" t="n">
        <x:f>IFERROR(INDEX(Sheet1!$H$5:$H$500,MATCH($A28,Sheet1!$A$5:$A$500,0)),"")</x:f>
        <x:v>98024</x:v>
      </x:c>
      <x:c r="R28" s="163" t="n">
        <x:f>IFERROR(INDEX(Sheet1!$I$5:$I$500,MATCH($A28,Sheet1!$A$5:$A$500,0)),"")</x:f>
        <x:v>113661</x:v>
      </x:c>
    </x:row>
    <x:row r="29">
      <x:c r="A29" s="107" t="n">
        <x:v>44592</x:v>
      </x:c>
      <x:c r="B29" s="161" t="str">
        <x:f>IF(OR(C29="",D29=""),"",C29+D29)</x:f>
      </x:c>
      <x:c r="C29" s="161" t="str">
        <x:f>IF(OR(M29="",I29=""),"",M29/I29*100)</x:f>
      </x:c>
      <x:c r="D29" s="161" t="str">
        <x:f>IF(OR(L29="",N29="",I29=""),"",-L29*N29/I29)</x:f>
      </x:c>
      <x:c r="E29" s="161" t="str">
        <x:f>IF(OR(G29="",I29=""),"",G29/I29*100)</x:f>
      </x:c>
      <x:c r="F29" s="162" t="str">
        <x:f>IF(OR(MONTH($A29)=1,O29="",P29="",Q29="",R29=""),"",P29+R29-O29-Q29)</x:f>
      </x:c>
      <x:c r="G29" s="162" t="str">
        <x:f>IF(OR(YEAR($A29)&lt;=2020,F29=""),"",F29+INDEX($F:$F,ROW()-MONTH($A29))-INDEX($F:$F,ROW()-12))</x:f>
      </x:c>
      <x:c r="H29" s="163" t="n">
        <x:f>IFERROR(INDEX(Sheet3!$B$5:$B$200,MATCH(DATE(YEAR($A29),INT((MONTH($A29)-1)/3)*3+4,0),Sheet3!$A$5:$A$200,0))/3,"")</x:f>
        <x:v>92391.93333333333</x:v>
      </x:c>
      <x:c r="I29" s="162" t="n">
        <x:f>IF(COUNT(H18:H29)=12,SUM(H18:H29),"")</x:f>
        <x:v>1181196.5333333334</x:v>
      </x:c>
      <x:c r="J29" s="162" t="str">
        <x:f>IF(YEAR($A29)&lt;=2020,"",INDEX($G:$G,ROW()-12))</x:f>
      </x:c>
      <x:c r="K29" s="162" t="n">
        <x:f>IF(YEAR($A29)&lt;=2020,"",INDEX($I:$I,ROW()-12))</x:f>
        <x:v>1049995.5333333332</x:v>
      </x:c>
      <x:c r="L29" s="162" t="str">
        <x:f>IF(YEAR($A29)&lt;=2020,"",INDEX($E:$E,ROW()-12))</x:f>
      </x:c>
      <x:c r="M29" s="162" t="str">
        <x:f>IF(OR(G29="",J29=""),"",G29-J29)</x:f>
      </x:c>
      <x:c r="N29" s="162" t="n">
        <x:f>IF(OR(I29="",K29=""),"",I29-K29)</x:f>
        <x:v>131201.00000000023</x:v>
      </x:c>
      <x:c r="O29" s="163" t="n">
        <x:f>IFERROR(INDEX(Sheet1!$B$5:$B$500,MATCH($A29,Sheet1!$A$5:$A$500,0)),"")</x:f>
        <x:v>0</x:v>
      </x:c>
      <x:c r="P29" s="163" t="n">
        <x:f>IFERROR(INDEX(Sheet1!$C$5:$C$500,MATCH($A29,Sheet1!$A$5:$A$500,0)),"")</x:f>
        <x:v>0</x:v>
      </x:c>
      <x:c r="Q29" s="163" t="n">
        <x:f>IFERROR(INDEX(Sheet1!$H$5:$H$500,MATCH($A29,Sheet1!$A$5:$A$500,0)),"")</x:f>
        <x:v>0</x:v>
      </x:c>
      <x:c r="R29" s="163" t="n">
        <x:f>IFERROR(INDEX(Sheet1!$I$5:$I$500,MATCH($A29,Sheet1!$A$5:$A$500,0)),"")</x:f>
        <x:v>0</x:v>
      </x:c>
    </x:row>
    <x:row r="30">
      <x:c r="A30" s="107" t="n">
        <x:v>44620</x:v>
      </x:c>
      <x:c r="B30" s="161" t="n">
        <x:f>IF(OR(C30="",D30=""),"",C30+D30)</x:f>
        <x:v>-1.8640892473071444</x:v>
      </x:c>
      <x:c r="C30" s="161" t="n">
        <x:f>IF(OR(M30="",I30=""),"",M30/I30*100)</x:f>
        <x:v>-1.1111671385969615</x:v>
      </x:c>
      <x:c r="D30" s="161" t="n">
        <x:f>IF(OR(L30="",N30="",I30=""),"",-L30*N30/I30)</x:f>
        <x:v>-0.7529221087101828</x:v>
      </x:c>
      <x:c r="E30" s="161" t="n">
        <x:f>IF(OR(G30="",I30=""),"",G30/I30*100)</x:f>
        <x:v>5.385210497476771</x:v>
      </x:c>
      <x:c r="F30" s="162" t="n">
        <x:f>IF(OR(MONTH($A30)=1,O30="",P30="",Q30="",R30=""),"",P30+R30-O30-Q30)</x:f>
        <x:v>-3093</x:v>
      </x:c>
      <x:c r="G30" s="162" t="n">
        <x:f>IF(OR(YEAR($A30)&lt;=2020,F30=""),"",F30+INDEX($F:$F,ROW()-MONTH($A30))-INDEX($F:$F,ROW()-12))</x:f>
        <x:v>64007</x:v>
      </x:c>
      <x:c r="H30" s="163" t="n">
        <x:f>IFERROR(INDEX(Sheet3!$B$5:$B$200,MATCH(DATE(YEAR($A30),INT((MONTH($A30)-1)/3)*3+4,0),Sheet3!$A$5:$A$200,0))/3,"")</x:f>
        <x:v>92391.93333333333</x:v>
      </x:c>
      <x:c r="I30" s="162" t="n">
        <x:f>IF(COUNT(H19:H30)=12,SUM(H19:H30),"")</x:f>
        <x:v>1188570.066666667</x:v>
      </x:c>
      <x:c r="J30" s="162" t="n">
        <x:f>IF(YEAR($A30)&lt;=2020,"",INDEX($G:$G,ROW()-12))</x:f>
        <x:v>77214</x:v>
      </x:c>
      <x:c r="K30" s="162" t="n">
        <x:f>IF(YEAR($A30)&lt;=2020,"",INDEX($I:$I,ROW()-12))</x:f>
        <x:v>1065123.5666666667</x:v>
      </x:c>
      <x:c r="L30" s="162" t="n">
        <x:f>IF(YEAR($A30)&lt;=2020,"",INDEX($E:$E,ROW()-12))</x:f>
        <x:v>7.249299744783916</x:v>
      </x:c>
      <x:c r="M30" s="162" t="n">
        <x:f>IF(OR(G30="",J30=""),"",G30-J30)</x:f>
        <x:v>-13207</x:v>
      </x:c>
      <x:c r="N30" s="162" t="n">
        <x:f>IF(OR(I30="",K30=""),"",I30-K30)</x:f>
        <x:v>123446.50000000023</x:v>
      </x:c>
      <x:c r="O30" s="163" t="n">
        <x:f>IFERROR(INDEX(Sheet1!$B$5:$B$500,MATCH($A30,Sheet1!$A$5:$A$500,0)),"")</x:f>
        <x:v>46203</x:v>
      </x:c>
      <x:c r="P30" s="163" t="n">
        <x:f>IFERROR(INDEX(Sheet1!$C$5:$C$500,MATCH($A30,Sheet1!$A$5:$A$500,0)),"")</x:f>
        <x:v>38227</x:v>
      </x:c>
      <x:c r="Q30" s="163" t="n">
        <x:f>IFERROR(INDEX(Sheet1!$H$5:$H$500,MATCH($A30,Sheet1!$A$5:$A$500,0)),"")</x:f>
        <x:v>9159</x:v>
      </x:c>
      <x:c r="R30" s="163" t="n">
        <x:f>IFERROR(INDEX(Sheet1!$I$5:$I$500,MATCH($A30,Sheet1!$A$5:$A$500,0)),"")</x:f>
        <x:v>14042</x:v>
      </x:c>
    </x:row>
    <x:row r="31">
      <x:c r="A31" s="107" t="n">
        <x:v>44651</x:v>
      </x:c>
      <x:c r="B31" s="161" t="n">
        <x:f>IF(OR(C31="",D31=""),"",C31+D31)</x:f>
        <x:v>-0.5897205960622384</x:v>
      </x:c>
      <x:c r="C31" s="161" t="n">
        <x:f>IF(OR(M31="",I31=""),"",M31/I31*100)</x:f>
        <x:v>0.046490486675124135</x:v>
      </x:c>
      <x:c r="D31" s="161" t="n">
        <x:f>IF(OR(L31="",N31="",I31=""),"",-L31*N31/I31)</x:f>
        <x:v>-0.6362110827373625</x:v>
      </x:c>
      <x:c r="E31" s="161" t="n">
        <x:f>IF(OR(G31="",I31=""),"",G31/I31*100)</x:f>
        <x:v>5.98698801515389</x:v>
      </x:c>
      <x:c r="F31" s="162" t="n">
        <x:f>IF(OR(MONTH($A31)=1,O31="",P31="",Q31="",R31=""),"",P31+R31-O31-Q31)</x:f>
        <x:v>12495</x:v>
      </x:c>
      <x:c r="G31" s="162" t="n">
        <x:f>IF(OR(YEAR($A31)&lt;=2020,F31=""),"",F31+INDEX($F:$F,ROW()-MONTH($A31))-INDEX($F:$F,ROW()-12))</x:f>
        <x:v>71601</x:v>
      </x:c>
      <x:c r="H31" s="163" t="n">
        <x:f>IFERROR(INDEX(Sheet3!$B$5:$B$200,MATCH(DATE(YEAR($A31),INT((MONTH($A31)-1)/3)*3+4,0),Sheet3!$A$5:$A$200,0))/3,"")</x:f>
        <x:v>92391.93333333333</x:v>
      </x:c>
      <x:c r="I31" s="162" t="n">
        <x:f>IF(COUNT(H20:H31)=12,SUM(H20:H31),"")</x:f>
        <x:v>1195943.6000000003</x:v>
      </x:c>
      <x:c r="J31" s="162" t="n">
        <x:f>IF(YEAR($A31)&lt;=2020,"",INDEX($G:$G,ROW()-12))</x:f>
        <x:v>71045</x:v>
      </x:c>
      <x:c r="K31" s="162" t="n">
        <x:f>IF(YEAR($A31)&lt;=2020,"",INDEX($I:$I,ROW()-12))</x:f>
        <x:v>1080251.5999999999</x:v>
      </x:c>
      <x:c r="L31" s="162" t="n">
        <x:f>IF(YEAR($A31)&lt;=2020,"",INDEX($E:$E,ROW()-12))</x:f>
        <x:v>6.576708611216128</x:v>
      </x:c>
      <x:c r="M31" s="162" t="n">
        <x:f>IF(OR(G31="",J31=""),"",G31-J31)</x:f>
        <x:v>556</x:v>
      </x:c>
      <x:c r="N31" s="162" t="n">
        <x:f>IF(OR(I31="",K31=""),"",I31-K31)</x:f>
        <x:v>115692.00000000047</x:v>
      </x:c>
      <x:c r="O31" s="163" t="n">
        <x:f>IFERROR(INDEX(Sheet1!$B$5:$B$500,MATCH($A31,Sheet1!$A$5:$A$500,0)),"")</x:f>
        <x:v>62037</x:v>
      </x:c>
      <x:c r="P31" s="163" t="n">
        <x:f>IFERROR(INDEX(Sheet1!$C$5:$C$500,MATCH($A31,Sheet1!$A$5:$A$500,0)),"")</x:f>
        <x:v>63587</x:v>
      </x:c>
      <x:c r="Q31" s="163" t="n">
        <x:f>IFERROR(INDEX(Sheet1!$H$5:$H$500,MATCH($A31,Sheet1!$A$5:$A$500,0)),"")</x:f>
        <x:v>13842</x:v>
      </x:c>
      <x:c r="R31" s="163" t="n">
        <x:f>IFERROR(INDEX(Sheet1!$I$5:$I$500,MATCH($A31,Sheet1!$A$5:$A$500,0)),"")</x:f>
        <x:v>24787</x:v>
      </x:c>
    </x:row>
    <x:row r="32">
      <x:c r="A32" s="107" t="n">
        <x:v>44681</x:v>
      </x:c>
      <x:c r="B32" s="161" t="n">
        <x:f>IF(OR(C32="",D32=""),"",C32+D32)</x:f>
        <x:v>0.9170275404961266</x:v>
      </x:c>
      <x:c r="C32" s="161" t="n">
        <x:f>IF(OR(M32="",I32=""),"",M32/I32*100)</x:f>
        <x:v>1.4536686969644117</x:v>
      </x:c>
      <x:c r="D32" s="161" t="n">
        <x:f>IF(OR(L32="",N32="",I32=""),"",-L32*N32/I32)</x:f>
        <x:v>-0.5366411564682851</x:v>
      </x:c>
      <x:c r="E32" s="161" t="n">
        <x:f>IF(OR(G32="",I32=""),"",G32/I32*100)</x:f>
        <x:v>6.883899420919319</x:v>
      </x:c>
      <x:c r="F32" s="162" t="n">
        <x:f>IF(OR(MONTH($A32)=1,O32="",P32="",Q32="",R32=""),"",P32+R32-O32-Q32)</x:f>
        <x:v>20563</x:v>
      </x:c>
      <x:c r="G32" s="162" t="n">
        <x:f>IF(OR(YEAR($A32)&lt;=2020,F32=""),"",F32+INDEX($F:$F,ROW()-MONTH($A32))-INDEX($F:$F,ROW()-12))</x:f>
        <x:v>82583</x:v>
      </x:c>
      <x:c r="H32" s="163" t="n">
        <x:f>IFERROR(INDEX(Sheet3!$B$5:$B$200,MATCH(DATE(YEAR($A32),INT((MONTH($A32)-1)/3)*3+4,0),Sheet3!$A$5:$A$200,0))/3,"")</x:f>
        <x:v>99703.83333333333</x:v>
      </x:c>
      <x:c r="I32" s="162" t="n">
        <x:f>IF(COUNT(H21:H32)=12,SUM(H21:H32),"")</x:f>
        <x:v>1199654.3666666667</x:v>
      </x:c>
      <x:c r="J32" s="162" t="n">
        <x:f>IF(YEAR($A32)&lt;=2020,"",INDEX($G:$G,ROW()-12))</x:f>
        <x:v>65144</x:v>
      </x:c>
      <x:c r="K32" s="162" t="n">
        <x:f>IF(YEAR($A32)&lt;=2020,"",INDEX($I:$I,ROW()-12))</x:f>
        <x:v>1091761.3333333335</x:v>
      </x:c>
      <x:c r="L32" s="162" t="n">
        <x:f>IF(YEAR($A32)&lt;=2020,"",INDEX($E:$E,ROW()-12))</x:f>
        <x:v>5.966871880423192</x:v>
      </x:c>
      <x:c r="M32" s="162" t="n">
        <x:f>IF(OR(G32="",J32=""),"",G32-J32)</x:f>
        <x:v>17439</x:v>
      </x:c>
      <x:c r="N32" s="162" t="n">
        <x:f>IF(OR(I32="",K32=""),"",I32-K32)</x:f>
        <x:v>107893.03333333321</x:v>
      </x:c>
      <x:c r="O32" s="163" t="n">
        <x:f>IFERROR(INDEX(Sheet1!$B$5:$B$500,MATCH($A32,Sheet1!$A$5:$A$500,0)),"")</x:f>
        <x:v>74293</x:v>
      </x:c>
      <x:c r="P32" s="163" t="n">
        <x:f>IFERROR(INDEX(Sheet1!$C$5:$C$500,MATCH($A32,Sheet1!$A$5:$A$500,0)),"")</x:f>
        <x:v>80933</x:v>
      </x:c>
      <x:c r="Q32" s="163" t="n">
        <x:f>IFERROR(INDEX(Sheet1!$H$5:$H$500,MATCH($A32,Sheet1!$A$5:$A$500,0)),"")</x:f>
        <x:v>17565</x:v>
      </x:c>
      <x:c r="R32" s="163" t="n">
        <x:f>IFERROR(INDEX(Sheet1!$I$5:$I$500,MATCH($A32,Sheet1!$A$5:$A$500,0)),"")</x:f>
        <x:v>31488</x:v>
      </x:c>
    </x:row>
    <x:row r="33">
      <x:c r="A33" s="107" t="n">
        <x:v>44712</x:v>
      </x:c>
      <x:c r="B33" s="161" t="n">
        <x:f>IF(OR(C33="",D33=""),"",C33+D33)</x:f>
        <x:v>1.9090743618692045</x:v>
      </x:c>
      <x:c r="C33" s="161" t="n">
        <x:f>IF(OR(M33="",I33=""),"",M33/I33*100)</x:f>
        <x:v>2.3869729315186516</x:v>
      </x:c>
      <x:c r="D33" s="161" t="n">
        <x:f>IF(OR(L33="",N33="",I33=""),"",-L33*N33/I33)</x:f>
        <x:v>-0.4778985696494471</x:v>
      </x:c>
      <x:c r="E33" s="161" t="n">
        <x:f>IF(OR(G33="",I33=""),"",G33/I33*100)</x:f>
        <x:v>7.65453455883742</x:v>
      </x:c>
      <x:c r="F33" s="162" t="n">
        <x:f>IF(OR(MONTH($A33)=1,O33="",P33="",Q33="",R33=""),"",P33+R33-O33-Q33)</x:f>
        <x:v>29701</x:v>
      </x:c>
      <x:c r="G33" s="162" t="n">
        <x:f>IF(OR(YEAR($A33)&lt;=2020,F33=""),"",F33+INDEX($F:$F,ROW()-MONTH($A33))-INDEX($F:$F,ROW()-12))</x:f>
        <x:v>92112</x:v>
      </x:c>
      <x:c r="H33" s="163" t="n">
        <x:f>IFERROR(INDEX(Sheet3!$B$5:$B$200,MATCH(DATE(YEAR($A33),INT((MONTH($A33)-1)/3)*3+4,0),Sheet3!$A$5:$A$200,0))/3,"")</x:f>
        <x:v>99703.83333333333</x:v>
      </x:c>
      <x:c r="I33" s="162" t="n">
        <x:f>IF(COUNT(H22:H33)=12,SUM(H22:H33),"")</x:f>
        <x:v>1203365.1333333333</x:v>
      </x:c>
      <x:c r="J33" s="162" t="n">
        <x:f>IF(YEAR($A33)&lt;=2020,"",INDEX($G:$G,ROW()-12))</x:f>
        <x:v>63388</x:v>
      </x:c>
      <x:c r="K33" s="162" t="n">
        <x:f>IF(YEAR($A33)&lt;=2020,"",INDEX($I:$I,ROW()-12))</x:f>
        <x:v>1103271.0666666667</x:v>
      </x:c>
      <x:c r="L33" s="162" t="n">
        <x:f>IF(YEAR($A33)&lt;=2020,"",INDEX($E:$E,ROW()-12))</x:f>
        <x:v>5.7454601969682155</x:v>
      </x:c>
      <x:c r="M33" s="162" t="n">
        <x:f>IF(OR(G33="",J33=""),"",G33-J33)</x:f>
        <x:v>28724</x:v>
      </x:c>
      <x:c r="N33" s="162" t="n">
        <x:f>IF(OR(I33="",K33=""),"",I33-K33)</x:f>
        <x:v>100094.06666666665</x:v>
      </x:c>
      <x:c r="O33" s="163" t="n">
        <x:f>IFERROR(INDEX(Sheet1!$B$5:$B$500,MATCH($A33,Sheet1!$A$5:$A$500,0)),"")</x:f>
        <x:v>86739</x:v>
      </x:c>
      <x:c r="P33" s="163" t="n">
        <x:f>IFERROR(INDEX(Sheet1!$C$5:$C$500,MATCH($A33,Sheet1!$A$5:$A$500,0)),"")</x:f>
        <x:v>99059</x:v>
      </x:c>
      <x:c r="Q33" s="163" t="n">
        <x:f>IFERROR(INDEX(Sheet1!$H$5:$H$500,MATCH($A33,Sheet1!$A$5:$A$500,0)),"")</x:f>
        <x:v>21948</x:v>
      </x:c>
      <x:c r="R33" s="163" t="n">
        <x:f>IFERROR(INDEX(Sheet1!$I$5:$I$500,MATCH($A33,Sheet1!$A$5:$A$500,0)),"")</x:f>
        <x:v>39329</x:v>
      </x:c>
    </x:row>
    <x:row r="34">
      <x:c r="A34" s="107" t="n">
        <x:v>44742</x:v>
      </x:c>
      <x:c r="B34" s="161" t="n">
        <x:f>IF(OR(C34="",D34=""),"",C34+D34)</x:f>
        <x:v>3.093842684028787</x:v>
      </x:c>
      <x:c r="C34" s="161" t="n">
        <x:f>IF(OR(M34="",I34=""),"",M34/I34*100)</x:f>
        <x:v>3.5082300955557137</x:v>
      </x:c>
      <x:c r="D34" s="161" t="n">
        <x:f>IF(OR(L34="",N34="",I34=""),"",-L34*N34/I34)</x:f>
        <x:v>-0.4143874115269268</x:v>
      </x:c>
      <x:c r="E34" s="161" t="n">
        <x:f>IF(OR(G34="",I34=""),"",G34/I34*100)</x:f>
        <x:v>8.51338345832271</x:v>
      </x:c>
      <x:c r="F34" s="162" t="n">
        <x:f>IF(OR(MONTH($A34)=1,O34="",P34="",Q34="",R34=""),"",P34+R34-O34-Q34)</x:f>
        <x:v>50524</x:v>
      </x:c>
      <x:c r="G34" s="162" t="n">
        <x:f>IF(OR(YEAR($A34)&lt;=2020,F34=""),"",F34+INDEX($F:$F,ROW()-MONTH($A34))-INDEX($F:$F,ROW()-12))</x:f>
        <x:v>102763</x:v>
      </x:c>
      <x:c r="H34" s="163" t="n">
        <x:f>IFERROR(INDEX(Sheet3!$B$5:$B$200,MATCH(DATE(YEAR($A34),INT((MONTH($A34)-1)/3)*3+4,0),Sheet3!$A$5:$A$200,0))/3,"")</x:f>
        <x:v>99703.83333333333</x:v>
      </x:c>
      <x:c r="I34" s="162" t="n">
        <x:f>IF(COUNT(H23:H34)=12,SUM(H23:H34),"")</x:f>
        <x:v>1207075.9000000001</x:v>
      </x:c>
      <x:c r="J34" s="162" t="n">
        <x:f>IF(YEAR($A34)&lt;=2020,"",INDEX($G:$G,ROW()-12))</x:f>
        <x:v>60416</x:v>
      </x:c>
      <x:c r="K34" s="162" t="n">
        <x:f>IF(YEAR($A34)&lt;=2020,"",INDEX($I:$I,ROW()-12))</x:f>
        <x:v>1114780.8</x:v>
      </x:c>
      <x:c r="L34" s="162" t="n">
        <x:f>IF(YEAR($A34)&lt;=2020,"",INDEX($E:$E,ROW()-12))</x:f>
        <x:v>5.419540774293924</x:v>
      </x:c>
      <x:c r="M34" s="162" t="n">
        <x:f>IF(OR(G34="",J34=""),"",G34-J34)</x:f>
        <x:v>42347</x:v>
      </x:c>
      <x:c r="N34" s="162" t="n">
        <x:f>IF(OR(I34="",K34=""),"",I34-K34)</x:f>
        <x:v>92295.1000000001</x:v>
      </x:c>
      <x:c r="O34" s="163" t="n">
        <x:f>IFERROR(INDEX(Sheet1!$B$5:$B$500,MATCH($A34,Sheet1!$A$5:$A$500,0)),"")</x:f>
        <x:v>105221</x:v>
      </x:c>
      <x:c r="P34" s="163" t="n">
        <x:f>IFERROR(INDEX(Sheet1!$C$5:$C$500,MATCH($A34,Sheet1!$A$5:$A$500,0)),"")</x:f>
        <x:v>128887</x:v>
      </x:c>
      <x:c r="Q34" s="163" t="n">
        <x:f>IFERROR(INDEX(Sheet1!$H$5:$H$500,MATCH($A34,Sheet1!$A$5:$A$500,0)),"")</x:f>
        <x:v>27968</x:v>
      </x:c>
      <x:c r="R34" s="163" t="n">
        <x:f>IFERROR(INDEX(Sheet1!$I$5:$I$500,MATCH($A34,Sheet1!$A$5:$A$500,0)),"")</x:f>
        <x:v>54826</x:v>
      </x:c>
    </x:row>
    <x:row r="35">
      <x:c r="A35" s="107" t="n">
        <x:v>44773</x:v>
      </x:c>
      <x:c r="B35" s="161" t="n">
        <x:f>IF(OR(C35="",D35=""),"",C35+D35)</x:f>
        <x:v>3.9171364869910463</x:v>
      </x:c>
      <x:c r="C35" s="161" t="n">
        <x:f>IF(OR(M35="",I35=""),"",M35/I35*100)</x:f>
        <x:v>4.289677198678394</x:v>
      </x:c>
      <x:c r="D35" s="161" t="n">
        <x:f>IF(OR(L35="",N35="",I35=""),"",-L35*N35/I35)</x:f>
        <x:v>-0.37254071168734776</x:v>
      </x:c>
      <x:c r="E35" s="161" t="n">
        <x:f>IF(OR(G35="",I35=""),"",G35/I35*100)</x:f>
        <x:v>9.008000570758718</x:v>
      </x:c>
      <x:c r="F35" s="162" t="n">
        <x:f>IF(OR(MONTH($A35)=1,O35="",P35="",Q35="",R35=""),"",P35+R35-O35-Q35)</x:f>
        <x:v>52448</x:v>
      </x:c>
      <x:c r="G35" s="162" t="n">
        <x:f>IF(OR(YEAR($A35)&lt;=2020,F35=""),"",F35+INDEX($F:$F,ROW()-MONTH($A35))-INDEX($F:$F,ROW()-12))</x:f>
        <x:v>109257</x:v>
      </x:c>
      <x:c r="H35" s="163" t="n">
        <x:f>IFERROR(INDEX(Sheet3!$B$5:$B$200,MATCH(DATE(YEAR($A35),INT((MONTH($A35)-1)/3)*3+4,0),Sheet3!$A$5:$A$200,0))/3,"")</x:f>
        <x:v>105133.2</x:v>
      </x:c>
      <x:c r="I35" s="162" t="n">
        <x:f>IF(COUNT(H24:H35)=12,SUM(H24:H35),"")</x:f>
        <x:v>1212888.4666666668</x:v>
      </x:c>
      <x:c r="J35" s="162" t="n">
        <x:f>IF(YEAR($A35)&lt;=2020,"",INDEX($G:$G,ROW()-12))</x:f>
        <x:v>57228</x:v>
      </x:c>
      <x:c r="K35" s="162" t="n">
        <x:f>IF(YEAR($A35)&lt;=2020,"",INDEX($I:$I,ROW()-12))</x:f>
        <x:v>1124131.3666666667</x:v>
      </x:c>
      <x:c r="L35" s="162" t="n">
        <x:f>IF(YEAR($A35)&lt;=2020,"",INDEX($E:$E,ROW()-12))</x:f>
        <x:v>5.090864083767671</x:v>
      </x:c>
      <x:c r="M35" s="162" t="n">
        <x:f>IF(OR(G35="",J35=""),"",G35-J35)</x:f>
        <x:v>52029</x:v>
      </x:c>
      <x:c r="N35" s="162" t="n">
        <x:f>IF(OR(I35="",K35=""),"",I35-K35)</x:f>
        <x:v>88757.1000000001</x:v>
      </x:c>
      <x:c r="O35" s="163" t="n">
        <x:f>IFERROR(INDEX(Sheet1!$B$5:$B$500,MATCH($A35,Sheet1!$A$5:$A$500,0)),"")</x:f>
        <x:v>124981</x:v>
      </x:c>
      <x:c r="P35" s="163" t="n">
        <x:f>IFERROR(INDEX(Sheet1!$C$5:$C$500,MATCH($A35,Sheet1!$A$5:$A$500,0)),"")</x:f>
        <x:v>146751</x:v>
      </x:c>
      <x:c r="Q35" s="163" t="n">
        <x:f>IFERROR(INDEX(Sheet1!$H$5:$H$500,MATCH($A35,Sheet1!$A$5:$A$500,0)),"")</x:f>
        <x:v>33384</x:v>
      </x:c>
      <x:c r="R35" s="163" t="n">
        <x:f>IFERROR(INDEX(Sheet1!$I$5:$I$500,MATCH($A35,Sheet1!$A$5:$A$500,0)),"")</x:f>
        <x:v>64062</x:v>
      </x:c>
    </x:row>
    <x:row r="36">
      <x:c r="A36" s="107" t="n">
        <x:v>44804</x:v>
      </x:c>
      <x:c r="B36" s="161" t="n">
        <x:f>IF(OR(C36="",D36=""),"",C36+D36)</x:f>
        <x:v>3.812428935081662</x:v>
      </x:c>
      <x:c r="C36" s="161" t="n">
        <x:f>IF(OR(M36="",I36=""),"",M36/I36*100)</x:f>
        <x:v>4.170177804887395</x:v>
      </x:c>
      <x:c r="D36" s="161" t="n">
        <x:f>IF(OR(L36="",N36="",I36=""),"",-L36*N36/I36)</x:f>
        <x:v>-0.35774886980573256</x:v>
      </x:c>
      <x:c r="E36" s="161" t="n">
        <x:f>IF(OR(G36="",I36=""),"",G36/I36*100)</x:f>
        <x:v>8.92852283077028</x:v>
      </x:c>
      <x:c r="F36" s="162" t="n">
        <x:f>IF(OR(MONTH($A36)=1,O36="",P36="",Q36="",R36=""),"",P36+R36-O36-Q36)</x:f>
        <x:v>60195</x:v>
      </x:c>
      <x:c r="G36" s="162" t="n">
        <x:f>IF(OR(YEAR($A36)&lt;=2020,F36=""),"",F36+INDEX($F:$F,ROW()-MONTH($A36))-INDEX($F:$F,ROW()-12))</x:f>
        <x:v>108812</x:v>
      </x:c>
      <x:c r="H36" s="163" t="n">
        <x:f>IFERROR(INDEX(Sheet3!$B$5:$B$200,MATCH(DATE(YEAR($A36),INT((MONTH($A36)-1)/3)*3+4,0),Sheet3!$A$5:$A$200,0))/3,"")</x:f>
        <x:v>105133.2</x:v>
      </x:c>
      <x:c r="I36" s="162" t="n">
        <x:f>IF(COUNT(H25:H36)=12,SUM(H25:H36),"")</x:f>
        <x:v>1218701.0333333334</x:v>
      </x:c>
      <x:c r="J36" s="162" t="n">
        <x:f>IF(YEAR($A36)&lt;=2020,"",INDEX($G:$G,ROW()-12))</x:f>
        <x:v>57990</x:v>
      </x:c>
      <x:c r="K36" s="162" t="n">
        <x:f>IF(YEAR($A36)&lt;=2020,"",INDEX($I:$I,ROW()-12))</x:f>
        <x:v>1133481.9333333333</x:v>
      </x:c>
      <x:c r="L36" s="162" t="n">
        <x:f>IF(YEAR($A36)&lt;=2020,"",INDEX($E:$E,ROW()-12))</x:f>
        <x:v>5.116093895688619</x:v>
      </x:c>
      <x:c r="M36" s="162" t="n">
        <x:f>IF(OR(G36="",J36=""),"",G36-J36)</x:f>
        <x:v>50822</x:v>
      </x:c>
      <x:c r="N36" s="162" t="n">
        <x:f>IF(OR(I36="",K36=""),"",I36-K36)</x:f>
        <x:v>85219.1000000001</x:v>
      </x:c>
      <x:c r="O36" s="163" t="n">
        <x:f>IFERROR(INDEX(Sheet1!$B$5:$B$500,MATCH($A36,Sheet1!$A$5:$A$500,0)),"")</x:f>
        <x:v>138043</x:v>
      </x:c>
      <x:c r="P36" s="163" t="n">
        <x:f>IFERROR(INDEX(Sheet1!$C$5:$C$500,MATCH($A36,Sheet1!$A$5:$A$500,0)),"")</x:f>
        <x:v>165177</x:v>
      </x:c>
      <x:c r="Q36" s="163" t="n">
        <x:f>IFERROR(INDEX(Sheet1!$H$5:$H$500,MATCH($A36,Sheet1!$A$5:$A$500,0)),"")</x:f>
        <x:v>39979</x:v>
      </x:c>
      <x:c r="R36" s="163" t="n">
        <x:f>IFERROR(INDEX(Sheet1!$I$5:$I$500,MATCH($A36,Sheet1!$A$5:$A$500,0)),"")</x:f>
        <x:v>73040</x:v>
      </x:c>
    </x:row>
    <x:row r="37">
      <x:c r="A37" s="107" t="n">
        <x:v>44834</x:v>
      </x:c>
      <x:c r="B37" s="161" t="n">
        <x:f>IF(OR(C37="",D37=""),"",C37+D37)</x:f>
        <x:v>3.7412801553015056</x:v>
      </x:c>
      <x:c r="C37" s="161" t="n">
        <x:f>IF(OR(M37="",I37=""),"",M37/I37*100)</x:f>
        <x:v>4.066022623186872</x:v>
      </x:c>
      <x:c r="D37" s="161" t="n">
        <x:f>IF(OR(L37="",N37="",I37=""),"",-L37*N37/I37)</x:f>
        <x:v>-0.32474246788536654</x:v>
      </x:c>
      <x:c r="E37" s="161" t="n">
        <x:f>IF(OR(G37="",I37=""),"",G37/I37*100)</x:f>
        <x:v>8.609622628936092</x:v>
      </x:c>
      <x:c r="F37" s="162" t="n">
        <x:f>IF(OR(MONTH($A37)=1,O37="",P37="",Q37="",R37=""),"",P37+R37-O37-Q37)</x:f>
        <x:v>71634</x:v>
      </x:c>
      <x:c r="G37" s="162" t="n">
        <x:f>IF(OR(YEAR($A37)&lt;=2020,F37=""),"",F37+INDEX($F:$F,ROW()-MONTH($A37))-INDEX($F:$F,ROW()-12))</x:f>
        <x:v>105426</x:v>
      </x:c>
      <x:c r="H37" s="163" t="n">
        <x:f>IFERROR(INDEX(Sheet3!$B$5:$B$200,MATCH(DATE(YEAR($A37),INT((MONTH($A37)-1)/3)*3+4,0),Sheet3!$A$5:$A$200,0))/3,"")</x:f>
        <x:v>105133.2</x:v>
      </x:c>
      <x:c r="I37" s="162" t="n">
        <x:f>IF(COUNT(H26:H37)=12,SUM(H26:H37),"")</x:f>
        <x:v>1224513.6</x:v>
      </x:c>
      <x:c r="J37" s="162" t="n">
        <x:f>IF(YEAR($A37)&lt;=2020,"",INDEX($G:$G,ROW()-12))</x:f>
        <x:v>55637</x:v>
      </x:c>
      <x:c r="K37" s="162" t="n">
        <x:f>IF(YEAR($A37)&lt;=2020,"",INDEX($I:$I,ROW()-12))</x:f>
        <x:v>1142832.5</x:v>
      </x:c>
      <x:c r="L37" s="162" t="n">
        <x:f>IF(YEAR($A37)&lt;=2020,"",INDEX($E:$E,ROW()-12))</x:f>
        <x:v>4.868342473634588</x:v>
      </x:c>
      <x:c r="M37" s="162" t="n">
        <x:f>IF(OR(G37="",J37=""),"",G37-J37)</x:f>
        <x:v>49789</x:v>
      </x:c>
      <x:c r="N37" s="162" t="n">
        <x:f>IF(OR(I37="",K37=""),"",I37-K37)</x:f>
        <x:v>81681.1000000001</x:v>
      </x:c>
      <x:c r="O37" s="163" t="n">
        <x:f>IFERROR(INDEX(Sheet1!$B$5:$B$500,MATCH($A37,Sheet1!$A$5:$A$500,0)),"")</x:f>
        <x:v>153151</x:v>
      </x:c>
      <x:c r="P37" s="163" t="n">
        <x:f>IFERROR(INDEX(Sheet1!$C$5:$C$500,MATCH($A37,Sheet1!$A$5:$A$500,0)),"")</x:f>
        <x:v>190389</x:v>
      </x:c>
      <x:c r="Q37" s="163" t="n">
        <x:f>IFERROR(INDEX(Sheet1!$H$5:$H$500,MATCH($A37,Sheet1!$A$5:$A$500,0)),"")</x:f>
        <x:v>45898</x:v>
      </x:c>
      <x:c r="R37" s="163" t="n">
        <x:f>IFERROR(INDEX(Sheet1!$I$5:$I$500,MATCH($A37,Sheet1!$A$5:$A$500,0)),"")</x:f>
        <x:v>80294</x:v>
      </x:c>
    </x:row>
    <x:row r="38">
      <x:c r="A38" s="107" t="n">
        <x:v>44865</x:v>
      </x:c>
      <x:c r="B38" s="161" t="n">
        <x:f>IF(OR(C38="",D38=""),"",C38+D38)</x:f>
        <x:v>3.486452770889854</x:v>
      </x:c>
      <x:c r="C38" s="161" t="n">
        <x:f>IF(OR(M38="",I38=""),"",M38/I38*100)</x:f>
        <x:v>3.7836237375125794</x:v>
      </x:c>
      <x:c r="D38" s="161" t="n">
        <x:f>IF(OR(L38="",N38="",I38=""),"",-L38*N38/I38)</x:f>
        <x:v>-0.2971709666227254</x:v>
      </x:c>
      <x:c r="E38" s="161" t="n">
        <x:f>IF(OR(G38="",I38=""),"",G38/I38*100)</x:f>
        <x:v>8.382032694855482</x:v>
      </x:c>
      <x:c r="F38" s="162" t="n">
        <x:f>IF(OR(MONTH($A38)=1,O38="",P38="",Q38="",R38=""),"",P38+R38-O38-Q38)</x:f>
        <x:v>66616</x:v>
      </x:c>
      <x:c r="G38" s="162" t="n">
        <x:f>IF(OR(YEAR($A38)&lt;=2020,F38=""),"",F38+INDEX($F:$F,ROW()-MONTH($A38))-INDEX($F:$F,ROW()-12))</x:f>
        <x:v>102905</x:v>
      </x:c>
      <x:c r="H38" s="163" t="n">
        <x:f>IFERROR(INDEX(Sheet3!$B$5:$B$200,MATCH(DATE(YEAR($A38),INT((MONTH($A38)-1)/3)*3+4,0),Sheet3!$A$5:$A$200,0))/3,"")</x:f>
        <x:v>114114.13333333333</x:v>
      </x:c>
      <x:c r="I38" s="162" t="n">
        <x:f>IF(COUNT(H27:H38)=12,SUM(H27:H38),"")</x:f>
        <x:v>1227685.5</x:v>
      </x:c>
      <x:c r="J38" s="162" t="n">
        <x:f>IF(YEAR($A38)&lt;=2020,"",INDEX($G:$G,ROW()-12))</x:f>
        <x:v>56454</x:v>
      </x:c>
      <x:c r="K38" s="162" t="n">
        <x:f>IF(YEAR($A38)&lt;=2020,"",INDEX($I:$I,ROW()-12))</x:f>
        <x:v>1153162.6666666665</x:v>
      </x:c>
      <x:c r="L38" s="162" t="n">
        <x:f>IF(YEAR($A38)&lt;=2020,"",INDEX($E:$E,ROW()-12))</x:f>
        <x:v>4.895579923965628</x:v>
      </x:c>
      <x:c r="M38" s="162" t="n">
        <x:f>IF(OR(G38="",J38=""),"",G38-J38)</x:f>
        <x:v>46451</x:v>
      </x:c>
      <x:c r="N38" s="162" t="n">
        <x:f>IF(OR(I38="",K38=""),"",I38-K38)</x:f>
        <x:v>74522.83333333349</x:v>
      </x:c>
      <x:c r="O38" s="163" t="n">
        <x:f>IFERROR(INDEX(Sheet1!$B$5:$B$500,MATCH($A38,Sheet1!$A$5:$A$500,0)),"")</x:f>
        <x:v>173397</x:v>
      </x:c>
      <x:c r="P38" s="163" t="n">
        <x:f>IFERROR(INDEX(Sheet1!$C$5:$C$500,MATCH($A38,Sheet1!$A$5:$A$500,0)),"")</x:f>
        <x:v>206334</x:v>
      </x:c>
      <x:c r="Q38" s="163" t="n">
        <x:f>IFERROR(INDEX(Sheet1!$H$5:$H$500,MATCH($A38,Sheet1!$A$5:$A$500,0)),"")</x:f>
        <x:v>52166</x:v>
      </x:c>
      <x:c r="R38" s="163" t="n">
        <x:f>IFERROR(INDEX(Sheet1!$I$5:$I$500,MATCH($A38,Sheet1!$A$5:$A$500,0)),"")</x:f>
        <x:v>85845</x:v>
      </x:c>
    </x:row>
    <x:row r="39">
      <x:c r="A39" s="107" t="n">
        <x:v>44895</x:v>
      </x:c>
      <x:c r="B39" s="161" t="n">
        <x:f>IF(OR(C39="",D39=""),"",C39+D39)</x:f>
        <x:v>2.6998395158181725</x:v>
      </x:c>
      <x:c r="C39" s="161" t="n">
        <x:f>IF(OR(M39="",I39=""),"",M39/I39*100)</x:f>
        <x:v>2.996285353607981</x:v>
      </x:c>
      <x:c r="D39" s="161" t="n">
        <x:f>IF(OR(L39="",N39="",I39=""),"",-L39*N39/I39)</x:f>
        <x:v>-0.2964458377898085</x:v>
      </x:c>
      <x:c r="E39" s="161" t="n">
        <x:f>IF(OR(G39="",I39=""),"",G39/I39*100)</x:f>
        <x:v>8.11637481319932</x:v>
      </x:c>
      <x:c r="F39" s="162" t="n">
        <x:f>IF(OR(MONTH($A39)=1,O39="",P39="",Q39="",R39=""),"",P39+R39-O39-Q39)</x:f>
        <x:v>77537</x:v>
      </x:c>
      <x:c r="G39" s="162" t="n">
        <x:f>IF(OR(YEAR($A39)&lt;=2020,F39=""),"",F39+INDEX($F:$F,ROW()-MONTH($A39))-INDEX($F:$F,ROW()-12))</x:f>
        <x:v>99901</x:v>
      </x:c>
      <x:c r="H39" s="163" t="n">
        <x:f>IFERROR(INDEX(Sheet3!$B$5:$B$200,MATCH(DATE(YEAR($A39),INT((MONTH($A39)-1)/3)*3+4,0),Sheet3!$A$5:$A$200,0))/3,"")</x:f>
        <x:v>114114.13333333333</x:v>
      </x:c>
      <x:c r="I39" s="162" t="n">
        <x:f>IF(COUNT(H28:H39)=12,SUM(H28:H39),"")</x:f>
        <x:v>1230857.4</x:v>
      </x:c>
      <x:c r="J39" s="162" t="n">
        <x:f>IF(YEAR($A39)&lt;=2020,"",INDEX($G:$G,ROW()-12))</x:f>
        <x:v>63021</x:v>
      </x:c>
      <x:c r="K39" s="162" t="n">
        <x:f>IF(YEAR($A39)&lt;=2020,"",INDEX($I:$I,ROW()-12))</x:f>
        <x:v>1163492.8333333333</x:v>
      </x:c>
      <x:c r="L39" s="162" t="n">
        <x:f>IF(YEAR($A39)&lt;=2020,"",INDEX($E:$E,ROW()-12))</x:f>
        <x:v>5.416535297381148</x:v>
      </x:c>
      <x:c r="M39" s="162" t="n">
        <x:f>IF(OR(G39="",J39=""),"",G39-J39)</x:f>
        <x:v>36880</x:v>
      </x:c>
      <x:c r="N39" s="162" t="n">
        <x:f>IF(OR(I39="",K39=""),"",I39-K39)</x:f>
        <x:v>67364.56666666665</x:v>
      </x:c>
      <x:c r="O39" s="163" t="n">
        <x:f>IFERROR(INDEX(Sheet1!$B$5:$B$500,MATCH($A39,Sheet1!$A$5:$A$500,0)),"")</x:f>
        <x:v>185518</x:v>
      </x:c>
      <x:c r="P39" s="163" t="n">
        <x:f>IFERROR(INDEX(Sheet1!$C$5:$C$500,MATCH($A39,Sheet1!$A$5:$A$500,0)),"")</x:f>
        <x:v>227255</x:v>
      </x:c>
      <x:c r="Q39" s="163" t="n">
        <x:f>IFERROR(INDEX(Sheet1!$H$5:$H$500,MATCH($A39,Sheet1!$A$5:$A$500,0)),"")</x:f>
        <x:v>60161</x:v>
      </x:c>
      <x:c r="R39" s="163" t="n">
        <x:f>IFERROR(INDEX(Sheet1!$I$5:$I$500,MATCH($A39,Sheet1!$A$5:$A$500,0)),"")</x:f>
        <x:v>95961</x:v>
      </x:c>
    </x:row>
    <x:row r="40">
      <x:c r="A40" s="107" t="n">
        <x:v>44926</x:v>
      </x:c>
      <x:c r="B40" s="161" t="n">
        <x:f>IF(OR(C40="",D40=""),"",C40+D40)</x:f>
        <x:v>2.1994860019361524</x:v>
      </x:c>
      <x:c r="C40" s="161" t="n">
        <x:f>IF(OR(M40="",I40=""),"",M40/I40*100)</x:f>
        <x:v>2.4464573085906474</x:v>
      </x:c>
      <x:c r="D40" s="161" t="n">
        <x:f>IF(OR(L40="",N40="",I40=""),"",-L40*N40/I40)</x:f>
        <x:v>-0.24697130665449485</x:v>
      </x:c>
      <x:c r="E40" s="161" t="n">
        <x:f>IF(OR(G40="",I40=""),"",G40/I40*100)</x:f>
        <x:v>7.261577986843587</x:v>
      </x:c>
      <x:c r="F40" s="162" t="n">
        <x:f>IF(OR(MONTH($A40)=1,O40="",P40="",Q40="",R40=""),"",P40+R40-O40-Q40)</x:f>
        <x:v>89610</x:v>
      </x:c>
      <x:c r="G40" s="162" t="n">
        <x:f>IF(OR(YEAR($A40)&lt;=2020,F40=""),"",F40+INDEX($F:$F,ROW()-MONTH($A40))-INDEX($F:$F,ROW()-12))</x:f>
        <x:v>89610</x:v>
      </x:c>
      <x:c r="H40" s="163" t="n">
        <x:f>IFERROR(INDEX(Sheet3!$B$5:$B$200,MATCH(DATE(YEAR($A40),INT((MONTH($A40)-1)/3)*3+4,0),Sheet3!$A$5:$A$200,0))/3,"")</x:f>
        <x:v>114114.13333333333</x:v>
      </x:c>
      <x:c r="I40" s="162" t="n">
        <x:f>IF(COUNT(H29:H40)=12,SUM(H29:H40),"")</x:f>
        <x:v>1234029.2999999998</x:v>
      </x:c>
      <x:c r="J40" s="162" t="n">
        <x:f>IF(YEAR($A40)&lt;=2020,"",INDEX($G:$G,ROW()-12))</x:f>
        <x:v>59420</x:v>
      </x:c>
      <x:c r="K40" s="162" t="n">
        <x:f>IF(YEAR($A40)&lt;=2020,"",INDEX($I:$I,ROW()-12))</x:f>
        <x:v>1173823</x:v>
      </x:c>
      <x:c r="L40" s="162" t="n">
        <x:f>IF(YEAR($A40)&lt;=2020,"",INDEX($E:$E,ROW()-12))</x:f>
        <x:v>5.062091984907435</x:v>
      </x:c>
      <x:c r="M40" s="162" t="n">
        <x:f>IF(OR(G40="",J40=""),"",G40-J40)</x:f>
        <x:v>30190</x:v>
      </x:c>
      <x:c r="N40" s="162" t="n">
        <x:f>IF(OR(I40="",K40=""),"",I40-K40)</x:f>
        <x:v>60206.299999999814</x:v>
      </x:c>
      <x:c r="O40" s="163" t="n">
        <x:f>IFERROR(INDEX(Sheet1!$B$5:$B$500,MATCH($A40,Sheet1!$A$5:$A$500,0)),"")</x:f>
        <x:v>203703</x:v>
      </x:c>
      <x:c r="P40" s="163" t="n">
        <x:f>IFERROR(INDEX(Sheet1!$C$5:$C$500,MATCH($A40,Sheet1!$A$5:$A$500,0)),"")</x:f>
        <x:v>260609</x:v>
      </x:c>
      <x:c r="Q40" s="163" t="n">
        <x:f>IFERROR(INDEX(Sheet1!$H$5:$H$500,MATCH($A40,Sheet1!$A$5:$A$500,0)),"")</x:f>
        <x:v>77879</x:v>
      </x:c>
      <x:c r="R40" s="163" t="n">
        <x:f>IFERROR(INDEX(Sheet1!$I$5:$I$500,MATCH($A40,Sheet1!$A$5:$A$500,0)),"")</x:f>
        <x:v>110583</x:v>
      </x:c>
    </x:row>
    <x:row r="41">
      <x:c r="A41" s="107" t="n">
        <x:v>44957</x:v>
      </x:c>
      <x:c r="B41" s="161" t="str">
        <x:f>IF(OR(C41="",D41=""),"",C41+D41)</x:f>
      </x:c>
      <x:c r="C41" s="161" t="str">
        <x:f>IF(OR(M41="",I41=""),"",M41/I41*100)</x:f>
      </x:c>
      <x:c r="D41" s="161" t="str">
        <x:f>IF(OR(L41="",N41="",I41=""),"",-L41*N41/I41)</x:f>
      </x:c>
      <x:c r="E41" s="161" t="str">
        <x:f>IF(OR(G41="",I41=""),"",G41/I41*100)</x:f>
      </x:c>
      <x:c r="F41" s="162" t="str">
        <x:f>IF(OR(MONTH($A41)=1,O41="",P41="",Q41="",R41=""),"",P41+R41-O41-Q41)</x:f>
      </x:c>
      <x:c r="G41" s="162" t="str">
        <x:f>IF(OR(YEAR($A41)&lt;=2020,F41=""),"",F41+INDEX($F:$F,ROW()-MONTH($A41))-INDEX($F:$F,ROW()-12))</x:f>
      </x:c>
      <x:c r="H41" s="163" t="n">
        <x:f>IFERROR(INDEX(Sheet3!$B$5:$B$200,MATCH(DATE(YEAR($A41),INT((MONTH($A41)-1)/3)*3+4,0),Sheet3!$A$5:$A$200,0))/3,"")</x:f>
        <x:v>97456.26666666666</x:v>
      </x:c>
      <x:c r="I41" s="162" t="n">
        <x:f>IF(COUNT(H30:H41)=12,SUM(H30:H41),"")</x:f>
        <x:v>1239093.633333333</x:v>
      </x:c>
      <x:c r="J41" s="162" t="str">
        <x:f>IF(YEAR($A41)&lt;=2020,"",INDEX($G:$G,ROW()-12))</x:f>
      </x:c>
      <x:c r="K41" s="162" t="n">
        <x:f>IF(YEAR($A41)&lt;=2020,"",INDEX($I:$I,ROW()-12))</x:f>
        <x:v>1181196.5333333334</x:v>
      </x:c>
      <x:c r="L41" s="162" t="str">
        <x:f>IF(YEAR($A41)&lt;=2020,"",INDEX($E:$E,ROW()-12))</x:f>
      </x:c>
      <x:c r="M41" s="162" t="str">
        <x:f>IF(OR(G41="",J41=""),"",G41-J41)</x:f>
      </x:c>
      <x:c r="N41" s="162" t="n">
        <x:f>IF(OR(I41="",K41=""),"",I41-K41)</x:f>
        <x:v>57897.09999999963</x:v>
      </x:c>
      <x:c r="O41" s="163" t="n">
        <x:f>IFERROR(INDEX(Sheet1!$B$5:$B$500,MATCH($A41,Sheet1!$A$5:$A$500,0)),"")</x:f>
        <x:v>0</x:v>
      </x:c>
      <x:c r="P41" s="163" t="n">
        <x:f>IFERROR(INDEX(Sheet1!$C$5:$C$500,MATCH($A41,Sheet1!$A$5:$A$500,0)),"")</x:f>
        <x:v>0</x:v>
      </x:c>
      <x:c r="Q41" s="163" t="n">
        <x:f>IFERROR(INDEX(Sheet1!$H$5:$H$500,MATCH($A41,Sheet1!$A$5:$A$500,0)),"")</x:f>
        <x:v>0</x:v>
      </x:c>
      <x:c r="R41" s="163" t="n">
        <x:f>IFERROR(INDEX(Sheet1!$I$5:$I$500,MATCH($A41,Sheet1!$A$5:$A$500,0)),"")</x:f>
        <x:v>0</x:v>
      </x:c>
    </x:row>
    <x:row r="42">
      <x:c r="A42" s="107" t="n">
        <x:v>44985</x:v>
      </x:c>
      <x:c r="B42" s="161" t="n">
        <x:f>IF(OR(C42="",D42=""),"",C42+D42)</x:f>
        <x:v>2.1288674978174513</x:v>
      </x:c>
      <x:c r="C42" s="161" t="n">
        <x:f>IF(OR(M42="",I42=""),"",M42/I42*100)</x:f>
        <x:v>2.369474037045511</x:v>
      </x:c>
      <x:c r="D42" s="161" t="n">
        <x:f>IF(OR(L42="",N42="",I42=""),"",-L42*N42/I42)</x:f>
        <x:v>-0.2406065392280595</x:v>
      </x:c>
      <x:c r="E42" s="161" t="n">
        <x:f>IF(OR(G42="",I42=""),"",G42/I42*100)</x:f>
        <x:v>7.514077995294223</x:v>
      </x:c>
      <x:c r="F42" s="162" t="n">
        <x:f>IF(OR(MONTH($A42)=1,O42="",P42="",Q42="",R42=""),"",P42+R42-O42-Q42)</x:f>
        <x:v>784</x:v>
      </x:c>
      <x:c r="G42" s="162" t="n">
        <x:f>IF(OR(YEAR($A42)&lt;=2020,F42=""),"",F42+INDEX($F:$F,ROW()-MONTH($A42))-INDEX($F:$F,ROW()-12))</x:f>
        <x:v>93487</x:v>
      </x:c>
      <x:c r="H42" s="163" t="n">
        <x:f>IFERROR(INDEX(Sheet3!$B$5:$B$200,MATCH(DATE(YEAR($A42),INT((MONTH($A42)-1)/3)*3+4,0),Sheet3!$A$5:$A$200,0))/3,"")</x:f>
        <x:v>97456.26666666666</x:v>
      </x:c>
      <x:c r="I42" s="162" t="n">
        <x:f>IF(COUNT(H31:H42)=12,SUM(H31:H42),"")</x:f>
        <x:v>1244157.9666666663</x:v>
      </x:c>
      <x:c r="J42" s="162" t="n">
        <x:f>IF(YEAR($A42)&lt;=2020,"",INDEX($G:$G,ROW()-12))</x:f>
        <x:v>64007</x:v>
      </x:c>
      <x:c r="K42" s="162" t="n">
        <x:f>IF(YEAR($A42)&lt;=2020,"",INDEX($I:$I,ROW()-12))</x:f>
        <x:v>1188570.066666667</x:v>
      </x:c>
      <x:c r="L42" s="162" t="n">
        <x:f>IF(YEAR($A42)&lt;=2020,"",INDEX($E:$E,ROW()-12))</x:f>
        <x:v>5.385210497476771</x:v>
      </x:c>
      <x:c r="M42" s="162" t="n">
        <x:f>IF(OR(G42="",J42=""),"",G42-J42)</x:f>
        <x:v>29480</x:v>
      </x:c>
      <x:c r="N42" s="162" t="n">
        <x:f>IF(OR(I42="",K42=""),"",I42-K42)</x:f>
        <x:v>55587.89999999944</x:v>
      </x:c>
      <x:c r="O42" s="163" t="n">
        <x:f>IFERROR(INDEX(Sheet1!$B$5:$B$500,MATCH($A42,Sheet1!$A$5:$A$500,0)),"")</x:f>
        <x:v>45642</x:v>
      </x:c>
      <x:c r="P42" s="163" t="n">
        <x:f>IFERROR(INDEX(Sheet1!$C$5:$C$500,MATCH($A42,Sheet1!$A$5:$A$500,0)),"")</x:f>
        <x:v>40898</x:v>
      </x:c>
      <x:c r="Q42" s="163" t="n">
        <x:f>IFERROR(INDEX(Sheet1!$H$5:$H$500,MATCH($A42,Sheet1!$A$5:$A$500,0)),"")</x:f>
        <x:v>6965</x:v>
      </x:c>
      <x:c r="R42" s="163" t="n">
        <x:f>IFERROR(INDEX(Sheet1!$I$5:$I$500,MATCH($A42,Sheet1!$A$5:$A$500,0)),"")</x:f>
        <x:v>12493</x:v>
      </x:c>
    </x:row>
    <x:row r="43">
      <x:c r="A43" s="107" t="n">
        <x:v>45016</x:v>
      </x:c>
      <x:c r="B43" s="161" t="n">
        <x:f>IF(OR(C43="",D43=""),"",C43+D43)</x:f>
        <x:v>1.4520402506719772</x:v>
      </x:c>
      <x:c r="C43" s="161" t="n">
        <x:f>IF(OR(M43="",I43=""),"",M43/I43*100)</x:f>
        <x:v>1.7073822649499617</x:v>
      </x:c>
      <x:c r="D43" s="161" t="n">
        <x:f>IF(OR(L43="",N43="",I43=""),"",-L43*N43/I43)</x:f>
        <x:v>-0.2553420142779844</x:v>
      </x:c>
      <x:c r="E43" s="161" t="n">
        <x:f>IF(OR(G43="",I43=""),"",G43/I43*100)</x:f>
        <x:v>7.4390282658258675</x:v>
      </x:c>
      <x:c r="F43" s="162" t="n">
        <x:f>IF(OR(MONTH($A43)=1,O43="",P43="",Q43="",R43=""),"",P43+R43-O43-Q43)</x:f>
        <x:v>15815</x:v>
      </x:c>
      <x:c r="G43" s="162" t="n">
        <x:f>IF(OR(YEAR($A43)&lt;=2020,F43=""),"",F43+INDEX($F:$F,ROW()-MONTH($A43))-INDEX($F:$F,ROW()-12))</x:f>
        <x:v>92930</x:v>
      </x:c>
      <x:c r="H43" s="163" t="n">
        <x:f>IFERROR(INDEX(Sheet3!$B$5:$B$200,MATCH(DATE(YEAR($A43),INT((MONTH($A43)-1)/3)*3+4,0),Sheet3!$A$5:$A$200,0))/3,"")</x:f>
        <x:v>97456.26666666666</x:v>
      </x:c>
      <x:c r="I43" s="162" t="n">
        <x:f>IF(COUNT(H32:H43)=12,SUM(H32:H43),"")</x:f>
        <x:v>1249222.2999999998</x:v>
      </x:c>
      <x:c r="J43" s="162" t="n">
        <x:f>IF(YEAR($A43)&lt;=2020,"",INDEX($G:$G,ROW()-12))</x:f>
        <x:v>71601</x:v>
      </x:c>
      <x:c r="K43" s="162" t="n">
        <x:f>IF(YEAR($A43)&lt;=2020,"",INDEX($I:$I,ROW()-12))</x:f>
        <x:v>1195943.6000000003</x:v>
      </x:c>
      <x:c r="L43" s="162" t="n">
        <x:f>IF(YEAR($A43)&lt;=2020,"",INDEX($E:$E,ROW()-12))</x:f>
        <x:v>5.98698801515389</x:v>
      </x:c>
      <x:c r="M43" s="162" t="n">
        <x:f>IF(OR(G43="",J43=""),"",G43-J43)</x:f>
        <x:v>21329</x:v>
      </x:c>
      <x:c r="N43" s="162" t="n">
        <x:f>IF(OR(I43="",K43=""),"",I43-K43)</x:f>
        <x:v>53278.69999999949</x:v>
      </x:c>
      <x:c r="O43" s="163" t="n">
        <x:f>IFERROR(INDEX(Sheet1!$B$5:$B$500,MATCH($A43,Sheet1!$A$5:$A$500,0)),"")</x:f>
        <x:v>62341</x:v>
      </x:c>
      <x:c r="P43" s="163" t="n">
        <x:f>IFERROR(INDEX(Sheet1!$C$5:$C$500,MATCH($A43,Sheet1!$A$5:$A$500,0)),"")</x:f>
        <x:v>67915</x:v>
      </x:c>
      <x:c r="Q43" s="163" t="n">
        <x:f>IFERROR(INDEX(Sheet1!$H$5:$H$500,MATCH($A43,Sheet1!$A$5:$A$500,0)),"")</x:f>
        <x:v>10825</x:v>
      </x:c>
      <x:c r="R43" s="163" t="n">
        <x:f>IFERROR(INDEX(Sheet1!$I$5:$I$500,MATCH($A43,Sheet1!$A$5:$A$500,0)),"")</x:f>
        <x:v>21066</x:v>
      </x:c>
    </x:row>
    <x:row r="44">
      <x:c r="A44" s="107" t="n">
        <x:v>45046</x:v>
      </x:c>
      <x:c r="B44" s="161" t="n">
        <x:f>IF(OR(C44="",D44=""),"",C44+D44)</x:f>
        <x:v>-0.061133685252956066</x:v>
      </x:c>
      <x:c r="C44" s="161" t="n">
        <x:f>IF(OR(M44="",I44=""),"",M44/I44*100)</x:f>
        <x:v>0.24208502943149943</x:v>
      </x:c>
      <x:c r="D44" s="161" t="n">
        <x:f>IF(OR(L44="",N44="",I44=""),"",-L44*N44/I44)</x:f>
        <x:v>-0.3032187146844555</x:v>
      </x:c>
      <x:c r="E44" s="161" t="n">
        <x:f>IF(OR(G44="",I44=""),"",G44/I44*100)</x:f>
        <x:v>6.822765735666364</x:v>
      </x:c>
      <x:c r="F44" s="162" t="n">
        <x:f>IF(OR(MONTH($A44)=1,O44="",P44="",Q44="",R44=""),"",P44+R44-O44-Q44)</x:f>
        <x:v>16574</x:v>
      </x:c>
      <x:c r="G44" s="162" t="n">
        <x:f>IF(OR(YEAR($A44)&lt;=2020,F44=""),"",F44+INDEX($F:$F,ROW()-MONTH($A44))-INDEX($F:$F,ROW()-12))</x:f>
        <x:v>85621</x:v>
      </x:c>
      <x:c r="H44" s="163" t="n">
        <x:f>IFERROR(INDEX(Sheet3!$B$5:$B$200,MATCH(DATE(YEAR($A44),INT((MONTH($A44)-1)/3)*3+4,0),Sheet3!$A$5:$A$200,0))/3,"")</x:f>
        <x:v>105412.5</x:v>
      </x:c>
      <x:c r="I44" s="162" t="n">
        <x:f>IF(COUNT(H33:H44)=12,SUM(H33:H44),"")</x:f>
        <x:v>1254930.9666666666</x:v>
      </x:c>
      <x:c r="J44" s="162" t="n">
        <x:f>IF(YEAR($A44)&lt;=2020,"",INDEX($G:$G,ROW()-12))</x:f>
        <x:v>82583</x:v>
      </x:c>
      <x:c r="K44" s="162" t="n">
        <x:f>IF(YEAR($A44)&lt;=2020,"",INDEX($I:$I,ROW()-12))</x:f>
        <x:v>1199654.3666666667</x:v>
      </x:c>
      <x:c r="L44" s="162" t="n">
        <x:f>IF(YEAR($A44)&lt;=2020,"",INDEX($E:$E,ROW()-12))</x:f>
        <x:v>6.883899420919319</x:v>
      </x:c>
      <x:c r="M44" s="162" t="n">
        <x:f>IF(OR(G44="",J44=""),"",G44-J44)</x:f>
        <x:v>3038</x:v>
      </x:c>
      <x:c r="N44" s="162" t="n">
        <x:f>IF(OR(I44="",K44=""),"",I44-K44)</x:f>
        <x:v>55276.59999999986</x:v>
      </x:c>
      <x:c r="O44" s="163" t="n">
        <x:f>IFERROR(INDEX(Sheet1!$B$5:$B$500,MATCH($A44,Sheet1!$A$5:$A$500,0)),"")</x:f>
        <x:v>83171</x:v>
      </x:c>
      <x:c r="P44" s="163" t="n">
        <x:f>IFERROR(INDEX(Sheet1!$C$5:$C$500,MATCH($A44,Sheet1!$A$5:$A$500,0)),"")</x:f>
        <x:v>86418</x:v>
      </x:c>
      <x:c r="Q44" s="163" t="n">
        <x:f>IFERROR(INDEX(Sheet1!$H$5:$H$500,MATCH($A44,Sheet1!$A$5:$A$500,0)),"")</x:f>
        <x:v>14601</x:v>
      </x:c>
      <x:c r="R44" s="163" t="n">
        <x:f>IFERROR(INDEX(Sheet1!$I$5:$I$500,MATCH($A44,Sheet1!$A$5:$A$500,0)),"")</x:f>
        <x:v>27928</x:v>
      </x:c>
    </x:row>
    <x:row r="45">
      <x:c r="A45" s="107" t="n">
        <x:v>45077</x:v>
      </x:c>
      <x:c r="B45" s="161" t="n">
        <x:f>IF(OR(C45="",D45=""),"",C45+D45)</x:f>
        <x:v>-1.2511185575053967</x:v>
      </x:c>
      <x:c r="C45" s="161" t="n">
        <x:f>IF(OR(M45="",I45=""),"",M45/I45*100)</x:f>
        <x:v>-0.9033509417666256</x:v>
      </x:c>
      <x:c r="D45" s="161" t="n">
        <x:f>IF(OR(L45="",N45="",I45=""),"",-L45*N45/I45)</x:f>
        <x:v>-0.3477676157387712</x:v>
      </x:c>
      <x:c r="E45" s="161" t="n">
        <x:f>IF(OR(G45="",I45=""),"",G45/I45*100)</x:f>
        <x:v>6.403416001332024</x:v>
      </x:c>
      <x:c r="F45" s="162" t="n">
        <x:f>IF(OR(MONTH($A45)=1,O45="",P45="",Q45="",R45=""),"",P45+R45-O45-Q45)</x:f>
        <x:v>20815</x:v>
      </x:c>
      <x:c r="G45" s="162" t="n">
        <x:f>IF(OR(YEAR($A45)&lt;=2020,F45=""),"",F45+INDEX($F:$F,ROW()-MONTH($A45))-INDEX($F:$F,ROW()-12))</x:f>
        <x:v>80724</x:v>
      </x:c>
      <x:c r="H45" s="163" t="n">
        <x:f>IFERROR(INDEX(Sheet3!$B$5:$B$200,MATCH(DATE(YEAR($A45),INT((MONTH($A45)-1)/3)*3+4,0),Sheet3!$A$5:$A$200,0))/3,"")</x:f>
        <x:v>105412.5</x:v>
      </x:c>
      <x:c r="I45" s="162" t="n">
        <x:f>IF(COUNT(H34:H45)=12,SUM(H34:H45),"")</x:f>
        <x:v>1260639.633333333</x:v>
      </x:c>
      <x:c r="J45" s="162" t="n">
        <x:f>IF(YEAR($A45)&lt;=2020,"",INDEX($G:$G,ROW()-12))</x:f>
        <x:v>92112</x:v>
      </x:c>
      <x:c r="K45" s="162" t="n">
        <x:f>IF(YEAR($A45)&lt;=2020,"",INDEX($I:$I,ROW()-12))</x:f>
        <x:v>1203365.1333333333</x:v>
      </x:c>
      <x:c r="L45" s="162" t="n">
        <x:f>IF(YEAR($A45)&lt;=2020,"",INDEX($E:$E,ROW()-12))</x:f>
        <x:v>7.65453455883742</x:v>
      </x:c>
      <x:c r="M45" s="162" t="n">
        <x:f>IF(OR(G45="",J45=""),"",G45-J45)</x:f>
        <x:v>-11388</x:v>
      </x:c>
      <x:c r="N45" s="162" t="n">
        <x:f>IF(OR(I45="",K45=""),"",I45-K45)</x:f>
        <x:v>57274.49999999977</x:v>
      </x:c>
      <x:c r="O45" s="163" t="n">
        <x:f>IFERROR(INDEX(Sheet1!$B$5:$B$500,MATCH($A45,Sheet1!$A$5:$A$500,0)),"")</x:f>
        <x:v>99692</x:v>
      </x:c>
      <x:c r="P45" s="163" t="n">
        <x:f>IFERROR(INDEX(Sheet1!$C$5:$C$500,MATCH($A45,Sheet1!$A$5:$A$500,0)),"")</x:f>
        <x:v>104821</x:v>
      </x:c>
      <x:c r="Q45" s="163" t="n">
        <x:f>IFERROR(INDEX(Sheet1!$H$5:$H$500,MATCH($A45,Sheet1!$A$5:$A$500,0)),"")</x:f>
        <x:v>18657</x:v>
      </x:c>
      <x:c r="R45" s="163" t="n">
        <x:f>IFERROR(INDEX(Sheet1!$I$5:$I$500,MATCH($A45,Sheet1!$A$5:$A$500,0)),"")</x:f>
        <x:v>34343</x:v>
      </x:c>
    </x:row>
    <x:row r="46">
      <x:c r="A46" s="107" t="n">
        <x:v>45107</x:v>
      </x:c>
      <x:c r="B46" s="161" t="n">
        <x:f>IF(OR(C46="",D46=""),"",C46+D46)</x:f>
        <x:v>-2.7099248048069278</x:v>
      </x:c>
      <x:c r="C46" s="161" t="n">
        <x:f>IF(OR(M46="",I46=""),"",M46/I46*100)</x:f>
        <x:v>-2.31144938560742</x:v>
      </x:c>
      <x:c r="D46" s="161" t="n">
        <x:f>IF(OR(L46="",N46="",I46=""),"",-L46*N46/I46)</x:f>
        <x:v>-0.398475419199508</x:v>
      </x:c>
      <x:c r="E46" s="161" t="n">
        <x:f>IF(OR(G46="",I46=""),"",G46/I46*100)</x:f>
        <x:v>5.803458653515784</x:v>
      </x:c>
      <x:c r="F46" s="162" t="n">
        <x:f>IF(OR(MONTH($A46)=1,O46="",P46="",Q46="",R46=""),"",P46+R46-O46-Q46)</x:f>
        <x:v>34406</x:v>
      </x:c>
      <x:c r="G46" s="162" t="n">
        <x:f>IF(OR(YEAR($A46)&lt;=2020,F46=""),"",F46+INDEX($F:$F,ROW()-MONTH($A46))-INDEX($F:$F,ROW()-12))</x:f>
        <x:v>73492</x:v>
      </x:c>
      <x:c r="H46" s="163" t="n">
        <x:f>IFERROR(INDEX(Sheet3!$B$5:$B$200,MATCH(DATE(YEAR($A46),INT((MONTH($A46)-1)/3)*3+4,0),Sheet3!$A$5:$A$200,0))/3,"")</x:f>
        <x:v>105412.5</x:v>
      </x:c>
      <x:c r="I46" s="162" t="n">
        <x:f>IF(COUNT(H35:H46)=12,SUM(H35:H46),"")</x:f>
        <x:v>1266348.2999999998</x:v>
      </x:c>
      <x:c r="J46" s="162" t="n">
        <x:f>IF(YEAR($A46)&lt;=2020,"",INDEX($G:$G,ROW()-12))</x:f>
        <x:v>102763</x:v>
      </x:c>
      <x:c r="K46" s="162" t="n">
        <x:f>IF(YEAR($A46)&lt;=2020,"",INDEX($I:$I,ROW()-12))</x:f>
        <x:v>1207075.9000000001</x:v>
      </x:c>
      <x:c r="L46" s="162" t="n">
        <x:f>IF(YEAR($A46)&lt;=2020,"",INDEX($E:$E,ROW()-12))</x:f>
        <x:v>8.51338345832271</x:v>
      </x:c>
      <x:c r="M46" s="162" t="n">
        <x:f>IF(OR(G46="",J46=""),"",G46-J46)</x:f>
        <x:v>-29271</x:v>
      </x:c>
      <x:c r="N46" s="162" t="n">
        <x:f>IF(OR(I46="",K46=""),"",I46-K46)</x:f>
        <x:v>59272.399999999674</x:v>
      </x:c>
      <x:c r="O46" s="163" t="n">
        <x:f>IFERROR(INDEX(Sheet1!$B$5:$B$500,MATCH($A46,Sheet1!$A$5:$A$500,0)),"")</x:f>
        <x:v>119203</x:v>
      </x:c>
      <x:c r="P46" s="163" t="n">
        <x:f>IFERROR(INDEX(Sheet1!$C$5:$C$500,MATCH($A46,Sheet1!$A$5:$A$500,0)),"")</x:f>
        <x:v>133893</x:v>
      </x:c>
      <x:c r="Q46" s="163" t="n">
        <x:f>IFERROR(INDEX(Sheet1!$H$5:$H$500,MATCH($A46,Sheet1!$A$5:$A$500,0)),"")</x:f>
        <x:v>23506</x:v>
      </x:c>
      <x:c r="R46" s="163" t="n">
        <x:f>IFERROR(INDEX(Sheet1!$I$5:$I$500,MATCH($A46,Sheet1!$A$5:$A$500,0)),"")</x:f>
        <x:v>43222</x:v>
      </x:c>
    </x:row>
    <x:row r="47">
      <x:c r="A47" s="107" t="n">
        <x:v>45138</x:v>
      </x:c>
      <x:c r="B47" s="161" t="n">
        <x:f>IF(OR(C47="",D47=""),"",C47+D47)</x:f>
        <x:v>-3.4990482543629167</x:v>
      </x:c>
      <x:c r="C47" s="161" t="n">
        <x:f>IF(OR(M47="",I47=""),"",M47/I47*100)</x:f>
        <x:v>-3.0892534953303783</x:v>
      </x:c>
      <x:c r="D47" s="161" t="n">
        <x:f>IF(OR(L47="",N47="",I47=""),"",-L47*N47/I47)</x:f>
        <x:v>-0.4097947590325386</x:v>
      </x:c>
      <x:c r="E47" s="161" t="n">
        <x:f>IF(OR(G47="",I47=""),"",G47/I47*100)</x:f>
        <x:v>5.5089523163958</x:v>
      </x:c>
      <x:c r="F47" s="162" t="n">
        <x:f>IF(OR(MONTH($A47)=1,O47="",P47="",Q47="",R47=""),"",P47+R47-O47-Q47)</x:f>
        <x:v>32840</x:v>
      </x:c>
      <x:c r="G47" s="162" t="n">
        <x:f>IF(OR(YEAR($A47)&lt;=2020,F47=""),"",F47+INDEX($F:$F,ROW()-MONTH($A47))-INDEX($F:$F,ROW()-12))</x:f>
        <x:v>70002</x:v>
      </x:c>
      <x:c r="H47" s="163" t="n">
        <x:f>IFERROR(INDEX(Sheet3!$B$5:$B$200,MATCH(DATE(YEAR($A47),INT((MONTH($A47)-1)/3)*3+4,0),Sheet3!$A$5:$A$200,0))/3,"")</x:f>
        <x:v>109480.23333333334</x:v>
      </x:c>
      <x:c r="I47" s="162" t="n">
        <x:f>IF(COUNT(H36:H47)=12,SUM(H36:H47),"")</x:f>
        <x:v>1270695.3333333333</x:v>
      </x:c>
      <x:c r="J47" s="162" t="n">
        <x:f>IF(YEAR($A47)&lt;=2020,"",INDEX($G:$G,ROW()-12))</x:f>
        <x:v>109257</x:v>
      </x:c>
      <x:c r="K47" s="162" t="n">
        <x:f>IF(YEAR($A47)&lt;=2020,"",INDEX($I:$I,ROW()-12))</x:f>
        <x:v>1212888.4666666668</x:v>
      </x:c>
      <x:c r="L47" s="162" t="n">
        <x:f>IF(YEAR($A47)&lt;=2020,"",INDEX($E:$E,ROW()-12))</x:f>
        <x:v>9.008000570758718</x:v>
      </x:c>
      <x:c r="M47" s="162" t="n">
        <x:f>IF(OR(G47="",J47=""),"",G47-J47)</x:f>
        <x:v>-39255</x:v>
      </x:c>
      <x:c r="N47" s="162" t="n">
        <x:f>IF(OR(I47="",K47=""),"",I47-K47)</x:f>
        <x:v>57806.866666666465</x:v>
      </x:c>
      <x:c r="O47" s="163" t="n">
        <x:f>IFERROR(INDEX(Sheet1!$B$5:$B$500,MATCH($A47,Sheet1!$A$5:$A$500,0)),"")</x:f>
        <x:v>139334</x:v>
      </x:c>
      <x:c r="P47" s="163" t="n">
        <x:f>IFERROR(INDEX(Sheet1!$C$5:$C$500,MATCH($A47,Sheet1!$A$5:$A$500,0)),"")</x:f>
        <x:v>151623</x:v>
      </x:c>
      <x:c r="Q47" s="163" t="n">
        <x:f>IFERROR(INDEX(Sheet1!$H$5:$H$500,MATCH($A47,Sheet1!$A$5:$A$500,0)),"")</x:f>
        <x:v>28596</x:v>
      </x:c>
      <x:c r="R47" s="163" t="n">
        <x:f>IFERROR(INDEX(Sheet1!$I$5:$I$500,MATCH($A47,Sheet1!$A$5:$A$500,0)),"")</x:f>
        <x:v>49147</x:v>
      </x:c>
    </x:row>
    <x:row r="48">
      <x:c r="A48" s="107" t="n">
        <x:v>45169</x:v>
      </x:c>
      <x:c r="B48" s="161" t="n">
        <x:f>IF(OR(C48="",D48=""),"",C48+D48)</x:f>
        <x:v>-3.2624365979755585</x:v>
      </x:c>
      <x:c r="C48" s="161" t="n">
        <x:f>IF(OR(M48="",I48=""),"",M48/I48*100)</x:f>
        <x:v>-2.8679047030881666</x:v>
      </x:c>
      <x:c r="D48" s="161" t="n">
        <x:f>IF(OR(L48="",N48="",I48=""),"",-L48*N48/I48)</x:f>
        <x:v>-0.39453189488739177</x:v>
      </x:c>
      <x:c r="E48" s="161" t="n">
        <x:f>IF(OR(G48="",I48=""),"",G48/I48*100)</x:f>
        <x:v>5.666086232794722</x:v>
      </x:c>
      <x:c r="F48" s="162" t="n">
        <x:f>IF(OR(MONTH($A48)=1,O48="",P48="",Q48="",R48=""),"",P48+R48-O48-Q48)</x:f>
        <x:v>42830</x:v>
      </x:c>
      <x:c r="G48" s="162" t="n">
        <x:f>IF(OR(YEAR($A48)&lt;=2020,F48=""),"",F48+INDEX($F:$F,ROW()-MONTH($A48))-INDEX($F:$F,ROW()-12))</x:f>
        <x:v>72245</x:v>
      </x:c>
      <x:c r="H48" s="163" t="n">
        <x:f>IFERROR(INDEX(Sheet3!$B$5:$B$200,MATCH(DATE(YEAR($A48),INT((MONTH($A48)-1)/3)*3+4,0),Sheet3!$A$5:$A$200,0))/3,"")</x:f>
        <x:v>109480.23333333334</x:v>
      </x:c>
      <x:c r="I48" s="162" t="n">
        <x:f>IF(COUNT(H37:H48)=12,SUM(H37:H48),"")</x:f>
        <x:v>1275042.3666666667</x:v>
      </x:c>
      <x:c r="J48" s="162" t="n">
        <x:f>IF(YEAR($A48)&lt;=2020,"",INDEX($G:$G,ROW()-12))</x:f>
        <x:v>108812</x:v>
      </x:c>
      <x:c r="K48" s="162" t="n">
        <x:f>IF(YEAR($A48)&lt;=2020,"",INDEX($I:$I,ROW()-12))</x:f>
        <x:v>1218701.0333333334</x:v>
      </x:c>
      <x:c r="L48" s="162" t="n">
        <x:f>IF(YEAR($A48)&lt;=2020,"",INDEX($E:$E,ROW()-12))</x:f>
        <x:v>8.92852283077028</x:v>
      </x:c>
      <x:c r="M48" s="162" t="n">
        <x:f>IF(OR(G48="",J48=""),"",G48-J48)</x:f>
        <x:v>-36567</x:v>
      </x:c>
      <x:c r="N48" s="162" t="n">
        <x:f>IF(OR(I48="",K48=""),"",I48-K48)</x:f>
        <x:v>56341.333333333256</x:v>
      </x:c>
      <x:c r="O48" s="163" t="n">
        <x:f>IFERROR(INDEX(Sheet1!$B$5:$B$500,MATCH($A48,Sheet1!$A$5:$A$500,0)),"")</x:f>
        <x:v>151796</x:v>
      </x:c>
      <x:c r="P48" s="163" t="n">
        <x:f>IFERROR(INDEX(Sheet1!$C$5:$C$500,MATCH($A48,Sheet1!$A$5:$A$500,0)),"")</x:f>
        <x:v>171382</x:v>
      </x:c>
      <x:c r="Q48" s="163" t="n">
        <x:f>IFERROR(INDEX(Sheet1!$H$5:$H$500,MATCH($A48,Sheet1!$A$5:$A$500,0)),"")</x:f>
        <x:v>33974</x:v>
      </x:c>
      <x:c r="R48" s="163" t="n">
        <x:f>IFERROR(INDEX(Sheet1!$I$5:$I$500,MATCH($A48,Sheet1!$A$5:$A$500,0)),"")</x:f>
        <x:v>57218</x:v>
      </x:c>
    </x:row>
    <x:row r="49">
      <x:c r="A49" s="107" t="n">
        <x:v>45199</x:v>
      </x:c>
      <x:c r="B49" s="161" t="n">
        <x:f>IF(OR(C49="",D49=""),"",C49+D49)</x:f>
        <x:v>-2.603241772568204</x:v>
      </x:c>
      <x:c r="C49" s="161" t="n">
        <x:f>IF(OR(M49="",I49=""),"",M49/I49*100)</x:f>
        <x:v>-2.2339562919624</x:v>
      </x:c>
      <x:c r="D49" s="161" t="n">
        <x:f>IF(OR(L49="",N49="",I49=""),"",-L49*N49/I49)</x:f>
        <x:v>-0.3692854806058043</x:v>
      </x:c>
      <x:c r="E49" s="161" t="n">
        <x:f>IF(OR(G49="",I49=""),"",G49/I49*100)</x:f>
        <x:v>6.006380856367889</x:v>
      </x:c>
      <x:c r="F49" s="162" t="n">
        <x:f>IF(OR(MONTH($A49)=1,O49="",P49="",Q49="",R49=""),"",P49+R49-O49-Q49)</x:f>
        <x:v>58869</x:v>
      </x:c>
      <x:c r="G49" s="162" t="n">
        <x:f>IF(OR(YEAR($A49)&lt;=2020,F49=""),"",F49+INDEX($F:$F,ROW()-MONTH($A49))-INDEX($F:$F,ROW()-12))</x:f>
        <x:v>76845</x:v>
      </x:c>
      <x:c r="H49" s="163" t="n">
        <x:f>IFERROR(INDEX(Sheet3!$B$5:$B$200,MATCH(DATE(YEAR($A49),INT((MONTH($A49)-1)/3)*3+4,0),Sheet3!$A$5:$A$200,0))/3,"")</x:f>
        <x:v>109480.23333333334</x:v>
      </x:c>
      <x:c r="I49" s="162" t="n">
        <x:f>IF(COUNT(H38:H49)=12,SUM(H38:H49),"")</x:f>
        <x:v>1279389.4000000001</x:v>
      </x:c>
      <x:c r="J49" s="162" t="n">
        <x:f>IF(YEAR($A49)&lt;=2020,"",INDEX($G:$G,ROW()-12))</x:f>
        <x:v>105426</x:v>
      </x:c>
      <x:c r="K49" s="162" t="n">
        <x:f>IF(YEAR($A49)&lt;=2020,"",INDEX($I:$I,ROW()-12))</x:f>
        <x:v>1224513.6</x:v>
      </x:c>
      <x:c r="L49" s="162" t="n">
        <x:f>IF(YEAR($A49)&lt;=2020,"",INDEX($E:$E,ROW()-12))</x:f>
        <x:v>8.609622628936092</x:v>
      </x:c>
      <x:c r="M49" s="162" t="n">
        <x:f>IF(OR(G49="",J49=""),"",G49-J49)</x:f>
        <x:v>-28581</x:v>
      </x:c>
      <x:c r="N49" s="162" t="n">
        <x:f>IF(OR(I49="",K49=""),"",I49-K49)</x:f>
        <x:v>54875.80000000005</x:v>
      </x:c>
      <x:c r="O49" s="163" t="n">
        <x:f>IFERROR(INDEX(Sheet1!$B$5:$B$500,MATCH($A49,Sheet1!$A$5:$A$500,0)),"")</x:f>
        <x:v>166713</x:v>
      </x:c>
      <x:c r="P49" s="163" t="n">
        <x:f>IFERROR(INDEX(Sheet1!$C$5:$C$500,MATCH($A49,Sheet1!$A$5:$A$500,0)),"")</x:f>
        <x:v>197897</x:v>
      </x:c>
      <x:c r="Q49" s="163" t="n">
        <x:f>IFERROR(INDEX(Sheet1!$H$5:$H$500,MATCH($A49,Sheet1!$A$5:$A$500,0)),"")</x:f>
        <x:v>38683</x:v>
      </x:c>
      <x:c r="R49" s="163" t="n">
        <x:f>IFERROR(INDEX(Sheet1!$I$5:$I$500,MATCH($A49,Sheet1!$A$5:$A$500,0)),"")</x:f>
        <x:v>66368</x:v>
      </x:c>
    </x:row>
    <x:row r="50">
      <x:c r="A50" s="107" t="n">
        <x:v>45230</x:v>
      </x:c>
      <x:c r="B50" s="161" t="n">
        <x:f>IF(OR(C50="",D50=""),"",C50+D50)</x:f>
        <x:v>-2.1268851502060566</x:v>
      </x:c>
      <x:c r="C50" s="161" t="n">
        <x:f>IF(OR(M50="",I50=""),"",M50/I50*100)</x:f>
        <x:v>-1.7570752899014612</x:v>
      </x:c>
      <x:c r="D50" s="161" t="n">
        <x:f>IF(OR(L50="",N50="",I50=""),"",-L50*N50/I50)</x:f>
        <x:v>-0.36980986030459523</x:v>
      </x:c>
      <x:c r="E50" s="161" t="n">
        <x:f>IF(OR(G50="",I50=""),"",G50/I50*100)</x:f>
        <x:v>6.255147544649425</x:v>
      </x:c>
      <x:c r="F50" s="162" t="n">
        <x:f>IF(OR(MONTH($A50)=1,O50="",P50="",Q50="",R50=""),"",P50+R50-O50-Q50)</x:f>
        <x:v>57344</x:v>
      </x:c>
      <x:c r="G50" s="162" t="n">
        <x:f>IF(OR(YEAR($A50)&lt;=2020,F50=""),"",F50+INDEX($F:$F,ROW()-MONTH($A50))-INDEX($F:$F,ROW()-12))</x:f>
        <x:v>80338</x:v>
      </x:c>
      <x:c r="H50" s="163" t="n">
        <x:f>IFERROR(INDEX(Sheet3!$B$5:$B$200,MATCH(DATE(YEAR($A50),INT((MONTH($A50)-1)/3)*3+4,0),Sheet3!$A$5:$A$200,0))/3,"")</x:f>
        <x:v>119074.93333333333</x:v>
      </x:c>
      <x:c r="I50" s="162" t="n">
        <x:f>IF(COUNT(H39:H50)=12,SUM(H39:H50),"")</x:f>
        <x:v>1284350.2000000002</x:v>
      </x:c>
      <x:c r="J50" s="162" t="n">
        <x:f>IF(YEAR($A50)&lt;=2020,"",INDEX($G:$G,ROW()-12))</x:f>
        <x:v>102905</x:v>
      </x:c>
      <x:c r="K50" s="162" t="n">
        <x:f>IF(YEAR($A50)&lt;=2020,"",INDEX($I:$I,ROW()-12))</x:f>
        <x:v>1227685.5</x:v>
      </x:c>
      <x:c r="L50" s="162" t="n">
        <x:f>IF(YEAR($A50)&lt;=2020,"",INDEX($E:$E,ROW()-12))</x:f>
        <x:v>8.382032694855482</x:v>
      </x:c>
      <x:c r="M50" s="162" t="n">
        <x:f>IF(OR(G50="",J50=""),"",G50-J50)</x:f>
        <x:v>-22567</x:v>
      </x:c>
      <x:c r="N50" s="162" t="n">
        <x:f>IF(OR(I50="",K50=""),"",I50-K50)</x:f>
        <x:v>56664.700000000186</x:v>
      </x:c>
      <x:c r="O50" s="163" t="n">
        <x:f>IFERROR(INDEX(Sheet1!$B$5:$B$500,MATCH($A50,Sheet1!$A$5:$A$500,0)),"")</x:f>
        <x:v>187494</x:v>
      </x:c>
      <x:c r="P50" s="163" t="n">
        <x:f>IFERROR(INDEX(Sheet1!$C$5:$C$500,MATCH($A50,Sheet1!$A$5:$A$500,0)),"")</x:f>
        <x:v>215734</x:v>
      </x:c>
      <x:c r="Q50" s="163" t="n">
        <x:f>IFERROR(INDEX(Sheet1!$H$5:$H$500,MATCH($A50,Sheet1!$A$5:$A$500,0)),"")</x:f>
        <x:v>43795</x:v>
      </x:c>
      <x:c r="R50" s="163" t="n">
        <x:f>IFERROR(INDEX(Sheet1!$I$5:$I$500,MATCH($A50,Sheet1!$A$5:$A$500,0)),"")</x:f>
        <x:v>72899</x:v>
      </x:c>
    </x:row>
    <x:row r="51">
      <x:c r="A51" s="107" t="n">
        <x:v>45260</x:v>
      </x:c>
      <x:c r="B51" s="161" t="n">
        <x:f>IF(OR(C51="",D51=""),"",C51+D51)</x:f>
        <x:v>-1.7795794240341003</x:v>
      </x:c>
      <x:c r="C51" s="161" t="n">
        <x:f>IF(OR(M51="",I51=""),"",M51/I51*100)</x:f>
        <x:v>-1.4116066643346714</x:v>
      </x:c>
      <x:c r="D51" s="161" t="n">
        <x:f>IF(OR(L51="",N51="",I51=""),"",-L51*N51/I51)</x:f>
        <x:v>-0.36797275969942883</x:v>
      </x:c>
      <x:c r="E51" s="161" t="n">
        <x:f>IF(OR(G51="",I51=""),"",G51/I51*100)</x:f>
        <x:v>6.3367953891652204</x:v>
      </x:c>
      <x:c r="F51" s="162" t="n">
        <x:f>IF(OR(MONTH($A51)=1,O51="",P51="",Q51="",R51=""),"",P51+R51-O51-Q51)</x:f>
        <x:v>69628</x:v>
      </x:c>
      <x:c r="G51" s="162" t="n">
        <x:f>IF(OR(YEAR($A51)&lt;=2020,F51=""),"",F51+INDEX($F:$F,ROW()-MONTH($A51))-INDEX($F:$F,ROW()-12))</x:f>
        <x:v>81701</x:v>
      </x:c>
      <x:c r="H51" s="163" t="n">
        <x:f>IFERROR(INDEX(Sheet3!$B$5:$B$200,MATCH(DATE(YEAR($A51),INT((MONTH($A51)-1)/3)*3+4,0),Sheet3!$A$5:$A$200,0))/3,"")</x:f>
        <x:v>119074.93333333333</x:v>
      </x:c>
      <x:c r="I51" s="162" t="n">
        <x:f>IF(COUNT(H40:H51)=12,SUM(H40:H51),"")</x:f>
        <x:v>1289311.0000000002</x:v>
      </x:c>
      <x:c r="J51" s="162" t="n">
        <x:f>IF(YEAR($A51)&lt;=2020,"",INDEX($G:$G,ROW()-12))</x:f>
        <x:v>99901</x:v>
      </x:c>
      <x:c r="K51" s="162" t="n">
        <x:f>IF(YEAR($A51)&lt;=2020,"",INDEX($I:$I,ROW()-12))</x:f>
        <x:v>1230857.4</x:v>
      </x:c>
      <x:c r="L51" s="162" t="n">
        <x:f>IF(YEAR($A51)&lt;=2020,"",INDEX($E:$E,ROW()-12))</x:f>
        <x:v>8.11637481319932</x:v>
      </x:c>
      <x:c r="M51" s="162" t="n">
        <x:f>IF(OR(G51="",J51=""),"",G51-J51)</x:f>
        <x:v>-18200</x:v>
      </x:c>
      <x:c r="N51" s="162" t="n">
        <x:f>IF(OR(I51="",K51=""),"",I51-K51)</x:f>
        <x:v>58453.600000000326</x:v>
      </x:c>
      <x:c r="O51" s="163" t="n">
        <x:f>IFERROR(INDEX(Sheet1!$B$5:$B$500,MATCH($A51,Sheet1!$A$5:$A$500,0)),"")</x:f>
        <x:v>200131</x:v>
      </x:c>
      <x:c r="P51" s="163" t="n">
        <x:f>IFERROR(INDEX(Sheet1!$C$5:$C$500,MATCH($A51,Sheet1!$A$5:$A$500,0)),"")</x:f>
        <x:v>238462</x:v>
      </x:c>
      <x:c r="Q51" s="163" t="n">
        <x:f>IFERROR(INDEX(Sheet1!$H$5:$H$500,MATCH($A51,Sheet1!$A$5:$A$500,0)),"")</x:f>
        <x:v>51884</x:v>
      </x:c>
      <x:c r="R51" s="163" t="n">
        <x:f>IFERROR(INDEX(Sheet1!$I$5:$I$500,MATCH($A51,Sheet1!$A$5:$A$500,0)),"")</x:f>
        <x:v>83181</x:v>
      </x:c>
    </x:row>
    <x:row r="52">
      <x:c r="A52" s="107" t="n">
        <x:v>45291</x:v>
      </x:c>
      <x:c r="B52" s="161" t="n">
        <x:f>IF(OR(C52="",D52=""),"",C52+D52)</x:f>
        <x:v>-0.4296281599216085</x:v>
      </x:c>
      <x:c r="C52" s="161" t="n">
        <x:f>IF(OR(M52="",I52=""),"",M52/I52*100)</x:f>
        <x:v>-0.0916345392057526</x:v>
      </x:c>
      <x:c r="D52" s="161" t="n">
        <x:f>IF(OR(L52="",N52="",I52=""),"",-L52*N52/I52)</x:f>
        <x:v>-0.3379936207158559</x:v>
      </x:c>
      <x:c r="E52" s="161" t="n">
        <x:f>IF(OR(G52="",I52=""),"",G52/I52*100)</x:f>
        <x:v>6.83194982692198</x:v>
      </x:c>
      <x:c r="F52" s="162" t="n">
        <x:f>IF(OR(MONTH($A52)=1,O52="",P52="",Q52="",R52=""),"",P52+R52-O52-Q52)</x:f>
        <x:v>88424</x:v>
      </x:c>
      <x:c r="G52" s="162" t="n">
        <x:f>IF(OR(YEAR($A52)&lt;=2020,F52=""),"",F52+INDEX($F:$F,ROW()-MONTH($A52))-INDEX($F:$F,ROW()-12))</x:f>
        <x:v>88424</x:v>
      </x:c>
      <x:c r="H52" s="163" t="n">
        <x:f>IFERROR(INDEX(Sheet3!$B$5:$B$200,MATCH(DATE(YEAR($A52),INT((MONTH($A52)-1)/3)*3+4,0),Sheet3!$A$5:$A$200,0))/3,"")</x:f>
        <x:v>119074.93333333333</x:v>
      </x:c>
      <x:c r="I52" s="162" t="n">
        <x:f>IF(COUNT(H41:H52)=12,SUM(H41:H52),"")</x:f>
        <x:v>1294271.8000000003</x:v>
      </x:c>
      <x:c r="J52" s="162" t="n">
        <x:f>IF(YEAR($A52)&lt;=2020,"",INDEX($G:$G,ROW()-12))</x:f>
        <x:v>89610</x:v>
      </x:c>
      <x:c r="K52" s="162" t="n">
        <x:f>IF(YEAR($A52)&lt;=2020,"",INDEX($I:$I,ROW()-12))</x:f>
        <x:v>1234029.2999999998</x:v>
      </x:c>
      <x:c r="L52" s="162" t="n">
        <x:f>IF(YEAR($A52)&lt;=2020,"",INDEX($E:$E,ROW()-12))</x:f>
        <x:v>7.261577986843587</x:v>
      </x:c>
      <x:c r="M52" s="162" t="n">
        <x:f>IF(OR(G52="",J52=""),"",G52-J52)</x:f>
        <x:v>-1186</x:v>
      </x:c>
      <x:c r="N52" s="162" t="n">
        <x:f>IF(OR(I52="",K52=""),"",I52-K52)</x:f>
        <x:v>60242.500000000466</x:v>
      </x:c>
      <x:c r="O52" s="163" t="n">
        <x:f>IFERROR(INDEX(Sheet1!$B$5:$B$500,MATCH($A52,Sheet1!$A$5:$A$500,0)),"")</x:f>
        <x:v>216784</x:v>
      </x:c>
      <x:c r="P52" s="163" t="n">
        <x:f>IFERROR(INDEX(Sheet1!$C$5:$C$500,MATCH($A52,Sheet1!$A$5:$A$500,0)),"")</x:f>
        <x:v>274574</x:v>
      </x:c>
      <x:c r="Q52" s="163" t="n">
        <x:f>IFERROR(INDEX(Sheet1!$H$5:$H$500,MATCH($A52,Sheet1!$A$5:$A$500,0)),"")</x:f>
        <x:v>70705</x:v>
      </x:c>
      <x:c r="R52" s="163" t="n">
        <x:f>IFERROR(INDEX(Sheet1!$I$5:$I$500,MATCH($A52,Sheet1!$A$5:$A$500,0)),"")</x:f>
        <x:v>101339</x:v>
      </x:c>
    </x:row>
    <x:row r="53">
      <x:c r="A53" s="107" t="n">
        <x:v>45322</x:v>
      </x:c>
      <x:c r="B53" s="161" t="str">
        <x:f>IF(OR(C53="",D53=""),"",C53+D53)</x:f>
      </x:c>
      <x:c r="C53" s="161" t="str">
        <x:f>IF(OR(M53="",I53=""),"",M53/I53*100)</x:f>
      </x:c>
      <x:c r="D53" s="161" t="str">
        <x:f>IF(OR(L53="",N53="",I53=""),"",-L53*N53/I53)</x:f>
      </x:c>
      <x:c r="E53" s="161" t="str">
        <x:f>IF(OR(G53="",I53=""),"",G53/I53*100)</x:f>
      </x:c>
      <x:c r="F53" s="162" t="str">
        <x:f>IF(OR(MONTH($A53)=1,O53="",P53="",Q53="",R53=""),"",P53+R53-O53-Q53)</x:f>
      </x:c>
      <x:c r="G53" s="162" t="str">
        <x:f>IF(OR(YEAR($A53)&lt;=2020,F53=""),"",F53+INDEX($F:$F,ROW()-MONTH($A53))-INDEX($F:$F,ROW()-12))</x:f>
      </x:c>
      <x:c r="H53" s="163" t="n">
        <x:f>IFERROR(INDEX(Sheet3!$B$5:$B$200,MATCH(DATE(YEAR($A53),INT((MONTH($A53)-1)/3)*3+4,0),Sheet3!$A$5:$A$200,0))/3,"")</x:f>
        <x:v>101508.4</x:v>
      </x:c>
      <x:c r="I53" s="162" t="n">
        <x:f>IF(COUNT(H42:H53)=12,SUM(H42:H53),"")</x:f>
        <x:v>1298323.9333333333</x:v>
      </x:c>
      <x:c r="J53" s="162" t="str">
        <x:f>IF(YEAR($A53)&lt;=2020,"",INDEX($G:$G,ROW()-12))</x:f>
      </x:c>
      <x:c r="K53" s="162" t="n">
        <x:f>IF(YEAR($A53)&lt;=2020,"",INDEX($I:$I,ROW()-12))</x:f>
        <x:v>1239093.633333333</x:v>
      </x:c>
      <x:c r="L53" s="162" t="str">
        <x:f>IF(YEAR($A53)&lt;=2020,"",INDEX($E:$E,ROW()-12))</x:f>
      </x:c>
      <x:c r="M53" s="162" t="str">
        <x:f>IF(OR(G53="",J53=""),"",G53-J53)</x:f>
      </x:c>
      <x:c r="N53" s="162" t="n">
        <x:f>IF(OR(I53="",K53=""),"",I53-K53)</x:f>
        <x:v>59230.30000000028</x:v>
      </x:c>
      <x:c r="O53" s="163" t="n">
        <x:f>IFERROR(INDEX(Sheet1!$B$5:$B$500,MATCH($A53,Sheet1!$A$5:$A$500,0)),"")</x:f>
        <x:v>0</x:v>
      </x:c>
      <x:c r="P53" s="163" t="n">
        <x:f>IFERROR(INDEX(Sheet1!$C$5:$C$500,MATCH($A53,Sheet1!$A$5:$A$500,0)),"")</x:f>
        <x:v>0</x:v>
      </x:c>
      <x:c r="Q53" s="163" t="n">
        <x:f>IFERROR(INDEX(Sheet1!$H$5:$H$500,MATCH($A53,Sheet1!$A$5:$A$500,0)),"")</x:f>
        <x:v>0</x:v>
      </x:c>
      <x:c r="R53" s="163" t="n">
        <x:f>IFERROR(INDEX(Sheet1!$I$5:$I$500,MATCH($A53,Sheet1!$A$5:$A$500,0)),"")</x:f>
        <x:v>0</x:v>
      </x:c>
    </x:row>
    <x:row r="54">
      <x:c r="A54" s="107" t="n">
        <x:v>45351</x:v>
      </x:c>
      <x:c r="B54" s="161" t="n">
        <x:f>IF(OR(C54="",D54=""),"",C54+D54)</x:f>
        <x:v>-0.5458141947872412</x:v>
      </x:c>
      <x:c r="C54" s="161" t="n">
        <x:f>IF(OR(M54="",I54=""),"",M54/I54*100)</x:f>
        <x:v>-0.20992400505312317</x:v>
      </x:c>
      <x:c r="D54" s="161" t="n">
        <x:f>IF(OR(L54="",N54="",I54=""),"",-L54*N54/I54)</x:f>
        <x:v>-0.3358901897341181</x:v>
      </x:c>
      <x:c r="E54" s="161" t="n">
        <x:f>IF(OR(G54="",I54=""),"",G54/I54*100)</x:f>
        <x:v>6.968263800506981</x:v>
      </x:c>
      <x:c r="F54" s="162" t="n">
        <x:f>IF(OR(MONTH($A54)=1,O54="",P54="",Q54="",R54=""),"",P54+R54-O54-Q54)</x:f>
        <x:v>3113</x:v>
      </x:c>
      <x:c r="G54" s="162" t="n">
        <x:f>IF(OR(YEAR($A54)&lt;=2020,F54=""),"",F54+INDEX($F:$F,ROW()-MONTH($A54))-INDEX($F:$F,ROW()-12))</x:f>
        <x:v>90753</x:v>
      </x:c>
      <x:c r="H54" s="163" t="n">
        <x:f>IFERROR(INDEX(Sheet3!$B$5:$B$200,MATCH(DATE(YEAR($A54),INT((MONTH($A54)-1)/3)*3+4,0),Sheet3!$A$5:$A$200,0))/3,"")</x:f>
        <x:v>101508.4</x:v>
      </x:c>
      <x:c r="I54" s="162" t="n">
        <x:f>IF(COUNT(H43:H54)=12,SUM(H43:H54),"")</x:f>
        <x:v>1302376.0666666667</x:v>
      </x:c>
      <x:c r="J54" s="162" t="n">
        <x:f>IF(YEAR($A54)&lt;=2020,"",INDEX($G:$G,ROW()-12))</x:f>
        <x:v>93487</x:v>
      </x:c>
      <x:c r="K54" s="162" t="n">
        <x:f>IF(YEAR($A54)&lt;=2020,"",INDEX($I:$I,ROW()-12))</x:f>
        <x:v>1244157.9666666663</x:v>
      </x:c>
      <x:c r="L54" s="162" t="n">
        <x:f>IF(YEAR($A54)&lt;=2020,"",INDEX($E:$E,ROW()-12))</x:f>
        <x:v>7.514077995294223</x:v>
      </x:c>
      <x:c r="M54" s="162" t="n">
        <x:f>IF(OR(G54="",J54=""),"",G54-J54)</x:f>
        <x:v>-2734</x:v>
      </x:c>
      <x:c r="N54" s="162" t="n">
        <x:f>IF(OR(I54="",K54=""),"",I54-K54)</x:f>
        <x:v>58218.100000000326</x:v>
      </x:c>
      <x:c r="O54" s="163" t="n">
        <x:f>IFERROR(INDEX(Sheet1!$B$5:$B$500,MATCH($A54,Sheet1!$A$5:$A$500,0)),"")</x:f>
        <x:v>44585</x:v>
      </x:c>
      <x:c r="P54" s="163" t="n">
        <x:f>IFERROR(INDEX(Sheet1!$C$5:$C$500,MATCH($A54,Sheet1!$A$5:$A$500,0)),"")</x:f>
        <x:v>43624</x:v>
      </x:c>
      <x:c r="Q54" s="163" t="n">
        <x:f>IFERROR(INDEX(Sheet1!$H$5:$H$500,MATCH($A54,Sheet1!$A$5:$A$500,0)),"")</x:f>
        <x:v>7149</x:v>
      </x:c>
      <x:c r="R54" s="163" t="n">
        <x:f>IFERROR(INDEX(Sheet1!$I$5:$I$500,MATCH($A54,Sheet1!$A$5:$A$500,0)),"")</x:f>
        <x:v>11223</x:v>
      </x:c>
    </x:row>
    <x:row r="55">
      <x:c r="A55" s="107" t="n">
        <x:v>45382</x:v>
      </x:c>
      <x:c r="B55" s="161" t="n">
        <x:f>IF(OR(C55="",D55=""),"",C55+D55)</x:f>
        <x:v>-0.6271728573158537</x:v>
      </x:c>
      <x:c r="C55" s="161" t="n">
        <x:f>IF(OR(M55="",I55=""),"",M55/I55*100)</x:f>
        <x:v>-0.3014325624630577</x:v>
      </x:c>
      <x:c r="D55" s="161" t="n">
        <x:f>IF(OR(L55="",N55="",I55=""),"",-L55*N55/I55)</x:f>
        <x:v>-0.32574029485279593</x:v>
      </x:c>
      <x:c r="E55" s="161" t="n">
        <x:f>IF(OR(G55="",I55=""),"",G55/I55*100)</x:f>
        <x:v>6.811855408510013</x:v>
      </x:c>
      <x:c r="F55" s="162" t="n">
        <x:f>IF(OR(MONTH($A55)=1,O55="",P55="",Q55="",R55=""),"",P55+R55-O55-Q55)</x:f>
        <x:v>16383</x:v>
      </x:c>
      <x:c r="G55" s="162" t="n">
        <x:f>IF(OR(YEAR($A55)&lt;=2020,F55=""),"",F55+INDEX($F:$F,ROW()-MONTH($A55))-INDEX($F:$F,ROW()-12))</x:f>
        <x:v>88992</x:v>
      </x:c>
      <x:c r="H55" s="163" t="n">
        <x:f>IFERROR(INDEX(Sheet3!$B$5:$B$200,MATCH(DATE(YEAR($A55),INT((MONTH($A55)-1)/3)*3+4,0),Sheet3!$A$5:$A$200,0))/3,"")</x:f>
        <x:v>101508.4</x:v>
      </x:c>
      <x:c r="I55" s="162" t="n">
        <x:f>IF(COUNT(H44:H55)=12,SUM(H44:H55),"")</x:f>
        <x:v>1306428.1999999997</x:v>
      </x:c>
      <x:c r="J55" s="162" t="n">
        <x:f>IF(YEAR($A55)&lt;=2020,"",INDEX($G:$G,ROW()-12))</x:f>
        <x:v>92930</x:v>
      </x:c>
      <x:c r="K55" s="162" t="n">
        <x:f>IF(YEAR($A55)&lt;=2020,"",INDEX($I:$I,ROW()-12))</x:f>
        <x:v>1249222.2999999998</x:v>
      </x:c>
      <x:c r="L55" s="162" t="n">
        <x:f>IF(YEAR($A55)&lt;=2020,"",INDEX($E:$E,ROW()-12))</x:f>
        <x:v>7.4390282658258675</x:v>
      </x:c>
      <x:c r="M55" s="162" t="n">
        <x:f>IF(OR(G55="",J55=""),"",G55-J55)</x:f>
        <x:v>-3938</x:v>
      </x:c>
      <x:c r="N55" s="162" t="n">
        <x:f>IF(OR(I55="",K55=""),"",I55-K55)</x:f>
        <x:v>57205.89999999991</x:v>
      </x:c>
      <x:c r="O55" s="163" t="n">
        <x:f>IFERROR(INDEX(Sheet1!$B$5:$B$500,MATCH($A55,Sheet1!$A$5:$A$500,0)),"")</x:f>
        <x:v>60877</x:v>
      </x:c>
      <x:c r="P55" s="163" t="n">
        <x:f>IFERROR(INDEX(Sheet1!$C$5:$C$500,MATCH($A55,Sheet1!$A$5:$A$500,0)),"")</x:f>
        <x:v>69856</x:v>
      </x:c>
      <x:c r="Q55" s="163" t="n">
        <x:f>IFERROR(INDEX(Sheet1!$H$5:$H$500,MATCH($A55,Sheet1!$A$5:$A$500,0)),"")</x:f>
        <x:v>10394</x:v>
      </x:c>
      <x:c r="R55" s="163" t="n">
        <x:f>IFERROR(INDEX(Sheet1!$I$5:$I$500,MATCH($A55,Sheet1!$A$5:$A$500,0)),"")</x:f>
        <x:v>17798</x:v>
      </x:c>
    </x:row>
    <x:row r="56">
      <x:c r="A56" s="107" t="n">
        <x:v>45412</x:v>
      </x:c>
      <x:c r="B56" s="161" t="n">
        <x:f>IF(OR(C56="",D56=""),"",C56+D56)</x:f>
        <x:v>-0.022460773287503566</x:v>
      </x:c>
      <x:c r="C56" s="161" t="n">
        <x:f>IF(OR(M56="",I56=""),"",M56/I56*100)</x:f>
        <x:v>0.26706463536457187</x:v>
      </x:c>
      <x:c r="D56" s="161" t="n">
        <x:f>IF(OR(L56="",N56="",I56=""),"",-L56*N56/I56)</x:f>
        <x:v>-0.28952540865207543</x:v>
      </x:c>
      <x:c r="E56" s="161" t="n">
        <x:f>IF(OR(G56="",I56=""),"",G56/I56*100)</x:f>
        <x:v>6.80030496237886</x:v>
      </x:c>
      <x:c r="F56" s="162" t="n">
        <x:f>IF(OR(MONTH($A56)=1,O56="",P56="",Q56="",R56=""),"",P56+R56-O56-Q56)</x:f>
        <x:v>17271</x:v>
      </x:c>
      <x:c r="G56" s="162" t="n">
        <x:f>IF(OR(YEAR($A56)&lt;=2020,F56=""),"",F56+INDEX($F:$F,ROW()-MONTH($A56))-INDEX($F:$F,ROW()-12))</x:f>
        <x:v>89121</x:v>
      </x:c>
      <x:c r="H56" s="163" t="n">
        <x:f>IFERROR(INDEX(Sheet3!$B$5:$B$200,MATCH(DATE(YEAR($A56),INT((MONTH($A56)-1)/3)*3+4,0),Sheet3!$A$5:$A$200,0))/3,"")</x:f>
        <x:v>109528.46666666666</x:v>
      </x:c>
      <x:c r="I56" s="162" t="n">
        <x:f>IF(COUNT(H45:H56)=12,SUM(H45:H56),"")</x:f>
        <x:v>1310544.1666666665</x:v>
      </x:c>
      <x:c r="J56" s="162" t="n">
        <x:f>IF(YEAR($A56)&lt;=2020,"",INDEX($G:$G,ROW()-12))</x:f>
        <x:v>85621</x:v>
      </x:c>
      <x:c r="K56" s="162" t="n">
        <x:f>IF(YEAR($A56)&lt;=2020,"",INDEX($I:$I,ROW()-12))</x:f>
        <x:v>1254930.9666666666</x:v>
      </x:c>
      <x:c r="L56" s="162" t="n">
        <x:f>IF(YEAR($A56)&lt;=2020,"",INDEX($E:$E,ROW()-12))</x:f>
        <x:v>6.822765735666364</x:v>
      </x:c>
      <x:c r="M56" s="162" t="n">
        <x:f>IF(OR(G56="",J56=""),"",G56-J56)</x:f>
        <x:v>3500</x:v>
      </x:c>
      <x:c r="N56" s="162" t="n">
        <x:f>IF(OR(I56="",K56=""),"",I56-K56)</x:f>
        <x:v>55613.19999999995</x:v>
      </x:c>
      <x:c r="O56" s="163" t="n">
        <x:f>IFERROR(INDEX(Sheet1!$B$5:$B$500,MATCH($A56,Sheet1!$A$5:$A$500,0)),"")</x:f>
        <x:v>80926</x:v>
      </x:c>
      <x:c r="P56" s="163" t="n">
        <x:f>IFERROR(INDEX(Sheet1!$C$5:$C$500,MATCH($A56,Sheet1!$A$5:$A$500,0)),"")</x:f>
        <x:v>89483</x:v>
      </x:c>
      <x:c r="Q56" s="163" t="n">
        <x:f>IFERROR(INDEX(Sheet1!$H$5:$H$500,MATCH($A56,Sheet1!$A$5:$A$500,0)),"")</x:f>
        <x:v>13484</x:v>
      </x:c>
      <x:c r="R56" s="163" t="n">
        <x:f>IFERROR(INDEX(Sheet1!$I$5:$I$500,MATCH($A56,Sheet1!$A$5:$A$500,0)),"")</x:f>
        <x:v>22198</x:v>
      </x:c>
    </x:row>
    <x:row r="57">
      <x:c r="A57" s="107" t="n">
        <x:v>45443</x:v>
      </x:c>
      <x:c r="B57" s="161" t="n">
        <x:f>IF(OR(C57="",D57=""),"",C57+D57)</x:f>
        <x:v>0.451739769726068</x:v>
      </x:c>
      <x:c r="C57" s="161" t="n">
        <x:f>IF(OR(M57="",I57=""),"",M57/I57*100)</x:f>
        <x:v>0.7148615647278571</x:v>
      </x:c>
      <x:c r="D57" s="161" t="n">
        <x:f>IF(OR(L57="",N57="",I57=""),"",-L57*N57/I57)</x:f>
        <x:v>-0.2631217950017891</x:v>
      </x:c>
      <x:c r="E57" s="161" t="n">
        <x:f>IF(OR(G57="",I57=""),"",G57/I57*100)</x:f>
        <x:v>6.855155771058091</x:v>
      </x:c>
      <x:c r="F57" s="162" t="n">
        <x:f>IF(OR(MONTH($A57)=1,O57="",P57="",Q57="",R57=""),"",P57+R57-O57-Q57)</x:f>
        <x:v>22513</x:v>
      </x:c>
      <x:c r="G57" s="162" t="n">
        <x:f>IF(OR(YEAR($A57)&lt;=2020,F57=""),"",F57+INDEX($F:$F,ROW()-MONTH($A57))-INDEX($F:$F,ROW()-12))</x:f>
        <x:v>90122</x:v>
      </x:c>
      <x:c r="H57" s="163" t="n">
        <x:f>IFERROR(INDEX(Sheet3!$B$5:$B$200,MATCH(DATE(YEAR($A57),INT((MONTH($A57)-1)/3)*3+4,0),Sheet3!$A$5:$A$200,0))/3,"")</x:f>
        <x:v>109528.46666666666</x:v>
      </x:c>
      <x:c r="I57" s="162" t="n">
        <x:f>IF(COUNT(H46:H57)=12,SUM(H46:H57),"")</x:f>
        <x:v>1314660.1333333333</x:v>
      </x:c>
      <x:c r="J57" s="162" t="n">
        <x:f>IF(YEAR($A57)&lt;=2020,"",INDEX($G:$G,ROW()-12))</x:f>
        <x:v>80724</x:v>
      </x:c>
      <x:c r="K57" s="162" t="n">
        <x:f>IF(YEAR($A57)&lt;=2020,"",INDEX($I:$I,ROW()-12))</x:f>
        <x:v>1260639.633333333</x:v>
      </x:c>
      <x:c r="L57" s="162" t="n">
        <x:f>IF(YEAR($A57)&lt;=2020,"",INDEX($E:$E,ROW()-12))</x:f>
        <x:v>6.403416001332024</x:v>
      </x:c>
      <x:c r="M57" s="162" t="n">
        <x:f>IF(OR(G57="",J57=""),"",G57-J57)</x:f>
        <x:v>9398</x:v>
      </x:c>
      <x:c r="N57" s="162" t="n">
        <x:f>IF(OR(I57="",K57=""),"",I57-K57)</x:f>
        <x:v>54020.50000000023</x:v>
      </x:c>
      <x:c r="O57" s="163" t="n">
        <x:f>IFERROR(INDEX(Sheet1!$B$5:$B$500,MATCH($A57,Sheet1!$A$5:$A$500,0)),"")</x:f>
        <x:v>96912</x:v>
      </x:c>
      <x:c r="P57" s="163" t="n">
        <x:f>IFERROR(INDEX(Sheet1!$C$5:$C$500,MATCH($A57,Sheet1!$A$5:$A$500,0)),"")</x:f>
        <x:v>108359</x:v>
      </x:c>
      <x:c r="Q57" s="163" t="n">
        <x:f>IFERROR(INDEX(Sheet1!$H$5:$H$500,MATCH($A57,Sheet1!$A$5:$A$500,0)),"")</x:f>
        <x:v>16638</x:v>
      </x:c>
      <x:c r="R57" s="163" t="n">
        <x:f>IFERROR(INDEX(Sheet1!$I$5:$I$500,MATCH($A57,Sheet1!$A$5:$A$500,0)),"")</x:f>
        <x:v>27704</x:v>
      </x:c>
    </x:row>
    <x:row r="58">
      <x:c r="A58" s="107" t="n">
        <x:v>45473</x:v>
      </x:c>
      <x:c r="B58" s="161" t="n">
        <x:f>IF(OR(C58="",D58=""),"",C58+D58)</x:f>
        <x:v>1.048348867108832</x:v>
      </x:c>
      <x:c r="C58" s="161" t="n">
        <x:f>IF(OR(M58="",I58=""),"",M58/I58*100)</x:f>
        <x:v>1.2790647328231077</x:v>
      </x:c>
      <x:c r="D58" s="161" t="n">
        <x:f>IF(OR(L58="",N58="",I58=""),"",-L58*N58/I58)</x:f>
        <x:v>-0.23071586571427585</x:v>
      </x:c>
      <x:c r="E58" s="161" t="n">
        <x:f>IF(OR(G58="",I58=""),"",G58/I58*100)</x:f>
        <x:v>6.851807520624615</x:v>
      </x:c>
      <x:c r="F58" s="162" t="n">
        <x:f>IF(OR(MONTH($A58)=1,O58="",P58="",Q58="",R58=""),"",P58+R58-O58-Q58)</x:f>
        <x:v>36342</x:v>
      </x:c>
      <x:c r="G58" s="162" t="n">
        <x:f>IF(OR(YEAR($A58)&lt;=2020,F58=""),"",F58+INDEX($F:$F,ROW()-MONTH($A58))-INDEX($F:$F,ROW()-12))</x:f>
        <x:v>90360</x:v>
      </x:c>
      <x:c r="H58" s="163" t="n">
        <x:f>IFERROR(INDEX(Sheet3!$B$5:$B$200,MATCH(DATE(YEAR($A58),INT((MONTH($A58)-1)/3)*3+4,0),Sheet3!$A$5:$A$200,0))/3,"")</x:f>
        <x:v>109528.46666666666</x:v>
      </x:c>
      <x:c r="I58" s="162" t="n">
        <x:f>IF(COUNT(H47:H58)=12,SUM(H47:H58),"")</x:f>
        <x:v>1318776.1</x:v>
      </x:c>
      <x:c r="J58" s="162" t="n">
        <x:f>IF(YEAR($A58)&lt;=2020,"",INDEX($G:$G,ROW()-12))</x:f>
        <x:v>73492</x:v>
      </x:c>
      <x:c r="K58" s="162" t="n">
        <x:f>IF(YEAR($A58)&lt;=2020,"",INDEX($I:$I,ROW()-12))</x:f>
        <x:v>1266348.2999999998</x:v>
      </x:c>
      <x:c r="L58" s="162" t="n">
        <x:f>IF(YEAR($A58)&lt;=2020,"",INDEX($E:$E,ROW()-12))</x:f>
        <x:v>5.803458653515784</x:v>
      </x:c>
      <x:c r="M58" s="162" t="n">
        <x:f>IF(OR(G58="",J58=""),"",G58-J58)</x:f>
        <x:v>16868</x:v>
      </x:c>
      <x:c r="N58" s="162" t="n">
        <x:f>IF(OR(I58="",K58=""),"",I58-K58)</x:f>
        <x:v>52427.80000000028</x:v>
      </x:c>
      <x:c r="O58" s="163" t="n">
        <x:f>IFERROR(INDEX(Sheet1!$B$5:$B$500,MATCH($A58,Sheet1!$A$5:$A$500,0)),"")</x:f>
        <x:v>115913</x:v>
      </x:c>
      <x:c r="P58" s="163" t="n">
        <x:f>IFERROR(INDEX(Sheet1!$C$5:$C$500,MATCH($A58,Sheet1!$A$5:$A$500,0)),"")</x:f>
        <x:v>136571</x:v>
      </x:c>
      <x:c r="Q58" s="163" t="n">
        <x:f>IFERROR(INDEX(Sheet1!$H$5:$H$500,MATCH($A58,Sheet1!$A$5:$A$500,0)),"")</x:f>
        <x:v>19915</x:v>
      </x:c>
      <x:c r="R58" s="163" t="n">
        <x:f>IFERROR(INDEX(Sheet1!$I$5:$I$500,MATCH($A58,Sheet1!$A$5:$A$500,0)),"")</x:f>
        <x:v>35599</x:v>
      </x:c>
    </x:row>
    <x:row r="59">
      <x:c r="A59" s="107" t="n">
        <x:v>45504</x:v>
      </x:c>
      <x:c r="B59" s="161" t="n">
        <x:f>IF(OR(C59="",D59=""),"",C59+D59)</x:f>
        <x:v>1.5438990105835488</x:v>
      </x:c>
      <x:c r="C59" s="161" t="n">
        <x:f>IF(OR(M59="",I59=""),"",M59/I59*100)</x:f>
        <x:v>1.7621358240033813</x:v>
      </x:c>
      <x:c r="D59" s="161" t="n">
        <x:f>IF(OR(L59="",N59="",I59=""),"",-L59*N59/I59)</x:f>
        <x:v>-0.21823681341983253</x:v>
      </x:c>
      <x:c r="E59" s="161" t="n">
        <x:f>IF(OR(G59="",I59=""),"",G59/I59*100)</x:f>
        <x:v>7.05285132697935</x:v>
      </x:c>
      <x:c r="F59" s="162" t="n">
        <x:f>IF(OR(MONTH($A59)=1,O59="",P59="",Q59="",R59=""),"",P59+R59-O59-Q59)</x:f>
        <x:v>37733</x:v>
      </x:c>
      <x:c r="G59" s="162" t="n">
        <x:f>IF(OR(YEAR($A59)&lt;=2020,F59=""),"",F59+INDEX($F:$F,ROW()-MONTH($A59))-INDEX($F:$F,ROW()-12))</x:f>
        <x:v>93317</x:v>
      </x:c>
      <x:c r="H59" s="163" t="n">
        <x:f>IFERROR(INDEX(Sheet3!$B$5:$B$200,MATCH(DATE(YEAR($A59),INT((MONTH($A59)-1)/3)*3+4,0),Sheet3!$A$5:$A$200,0))/3,"")</x:f>
        <x:v>113814.4</x:v>
      </x:c>
      <x:c r="I59" s="162" t="n">
        <x:f>IF(COUNT(H48:H59)=12,SUM(H48:H59),"")</x:f>
        <x:v>1323110.2666666666</x:v>
      </x:c>
      <x:c r="J59" s="162" t="n">
        <x:f>IF(YEAR($A59)&lt;=2020,"",INDEX($G:$G,ROW()-12))</x:f>
        <x:v>70002</x:v>
      </x:c>
      <x:c r="K59" s="162" t="n">
        <x:f>IF(YEAR($A59)&lt;=2020,"",INDEX($I:$I,ROW()-12))</x:f>
        <x:v>1270695.3333333333</x:v>
      </x:c>
      <x:c r="L59" s="162" t="n">
        <x:f>IF(YEAR($A59)&lt;=2020,"",INDEX($E:$E,ROW()-12))</x:f>
        <x:v>5.5089523163958</x:v>
      </x:c>
      <x:c r="M59" s="162" t="n">
        <x:f>IF(OR(G59="",J59=""),"",G59-J59)</x:f>
        <x:v>23315</x:v>
      </x:c>
      <x:c r="N59" s="162" t="n">
        <x:f>IF(OR(I59="",K59=""),"",I59-K59)</x:f>
        <x:v>52414.93333333335</x:v>
      </x:c>
      <x:c r="O59" s="163" t="n">
        <x:f>IFERROR(INDEX(Sheet1!$B$5:$B$500,MATCH($A59,Sheet1!$A$5:$A$500,0)),"")</x:f>
        <x:v>135663</x:v>
      </x:c>
      <x:c r="P59" s="163" t="n">
        <x:f>IFERROR(INDEX(Sheet1!$C$5:$C$500,MATCH($A59,Sheet1!$A$5:$A$500,0)),"")</x:f>
        <x:v>155463</x:v>
      </x:c>
      <x:c r="Q59" s="163" t="n">
        <x:f>IFERROR(INDEX(Sheet1!$H$5:$H$500,MATCH($A59,Sheet1!$A$5:$A$500,0)),"")</x:f>
        <x:v>23295</x:v>
      </x:c>
      <x:c r="R59" s="163" t="n">
        <x:f>IFERROR(INDEX(Sheet1!$I$5:$I$500,MATCH($A59,Sheet1!$A$5:$A$500,0)),"")</x:f>
        <x:v>41228</x:v>
      </x:c>
    </x:row>
    <x:row r="60">
      <x:c r="A60" s="107" t="n">
        <x:v>45535</x:v>
      </x:c>
      <x:c r="B60" s="161" t="n">
        <x:f>IF(OR(C60="",D60=""),"",C60+D60)</x:f>
        <x:v>1.3448286999157082</x:v>
      </x:c>
      <x:c r="C60" s="161" t="n">
        <x:f>IF(OR(M60="",I60=""),"",M60/I60*100)</x:f>
        <x:v>1.568502566071002</x:v>
      </x:c>
      <x:c r="D60" s="161" t="n">
        <x:f>IF(OR(L60="",N60="",I60=""),"",-L60*N60/I60)</x:f>
        <x:v>-0.22367386615529383</x:v>
      </x:c>
      <x:c r="E60" s="161" t="n">
        <x:f>IF(OR(G60="",I60=""),"",G60/I60*100)</x:f>
        <x:v>7.010914932710429</x:v>
      </x:c>
      <x:c r="F60" s="162" t="n">
        <x:f>IF(OR(MONTH($A60)=1,O60="",P60="",Q60="",R60=""),"",P60+R60-O60-Q60)</x:f>
        <x:v>47472</x:v>
      </x:c>
      <x:c r="G60" s="162" t="n">
        <x:f>IF(OR(YEAR($A60)&lt;=2020,F60=""),"",F60+INDEX($F:$F,ROW()-MONTH($A60))-INDEX($F:$F,ROW()-12))</x:f>
        <x:v>93066</x:v>
      </x:c>
      <x:c r="H60" s="163" t="n">
        <x:f>IFERROR(INDEX(Sheet3!$B$5:$B$200,MATCH(DATE(YEAR($A60),INT((MONTH($A60)-1)/3)*3+4,0),Sheet3!$A$5:$A$200,0))/3,"")</x:f>
        <x:v>113814.4</x:v>
      </x:c>
      <x:c r="I60" s="162" t="n">
        <x:f>IF(COUNT(H49:H60)=12,SUM(H49:H60),"")</x:f>
        <x:v>1327444.433333333</x:v>
      </x:c>
      <x:c r="J60" s="162" t="n">
        <x:f>IF(YEAR($A60)&lt;=2020,"",INDEX($G:$G,ROW()-12))</x:f>
        <x:v>72245</x:v>
      </x:c>
      <x:c r="K60" s="162" t="n">
        <x:f>IF(YEAR($A60)&lt;=2020,"",INDEX($I:$I,ROW()-12))</x:f>
        <x:v>1275042.3666666667</x:v>
      </x:c>
      <x:c r="L60" s="162" t="n">
        <x:f>IF(YEAR($A60)&lt;=2020,"",INDEX($E:$E,ROW()-12))</x:f>
        <x:v>5.666086232794722</x:v>
      </x:c>
      <x:c r="M60" s="162" t="n">
        <x:f>IF(OR(G60="",J60=""),"",G60-J60)</x:f>
        <x:v>20821</x:v>
      </x:c>
      <x:c r="N60" s="162" t="n">
        <x:f>IF(OR(I60="",K60=""),"",I60-K60)</x:f>
        <x:v>52402.06666666642</x:v>
      </x:c>
      <x:c r="O60" s="163" t="n">
        <x:f>IFERROR(INDEX(Sheet1!$B$5:$B$500,MATCH($A60,Sheet1!$A$5:$A$500,0)),"")</x:f>
        <x:v>147776</x:v>
      </x:c>
      <x:c r="P60" s="163" t="n">
        <x:f>IFERROR(INDEX(Sheet1!$C$5:$C$500,MATCH($A60,Sheet1!$A$5:$A$500,0)),"")</x:f>
        <x:v>173898</x:v>
      </x:c>
      <x:c r="Q60" s="163" t="n">
        <x:f>IFERROR(INDEX(Sheet1!$H$5:$H$500,MATCH($A60,Sheet1!$A$5:$A$500,0)),"")</x:f>
        <x:v>26821</x:v>
      </x:c>
      <x:c r="R60" s="163" t="n">
        <x:f>IFERROR(INDEX(Sheet1!$I$5:$I$500,MATCH($A60,Sheet1!$A$5:$A$500,0)),"")</x:f>
        <x:v>48171</x:v>
      </x:c>
    </x:row>
    <x:row r="61">
      <x:c r="A61" s="107" t="n">
        <x:v>45565</x:v>
      </x:c>
      <x:c r="B61" s="161" t="n">
        <x:f>IF(OR(C61="",D61=""),"",C61+D61)</x:f>
        <x:v>1.3418375336858341</x:v>
      </x:c>
      <x:c r="C61" s="161" t="n">
        <x:f>IF(OR(M61="",I61=""),"",M61/I61*100)</x:f>
        <x:v>1.5781151611836983</x:v>
      </x:c>
      <x:c r="D61" s="161" t="n">
        <x:f>IF(OR(L61="",N61="",I61=""),"",-L61*N61/I61)</x:f>
        <x:v>-0.23627762749786407</x:v>
      </x:c>
      <x:c r="E61" s="161" t="n">
        <x:f>IF(OR(G61="",I61=""),"",G61/I61*100)</x:f>
        <x:v>7.348218390053724</x:v>
      </x:c>
      <x:c r="F61" s="162" t="n">
        <x:f>IF(OR(MONTH($A61)=1,O61="",P61="",Q61="",R61=""),"",P61+R61-O61-Q61)</x:f>
        <x:v>68307</x:v>
      </x:c>
      <x:c r="G61" s="162" t="n">
        <x:f>IF(OR(YEAR($A61)&lt;=2020,F61=""),"",F61+INDEX($F:$F,ROW()-MONTH($A61))-INDEX($F:$F,ROW()-12))</x:f>
        <x:v>97862</x:v>
      </x:c>
      <x:c r="H61" s="163" t="n">
        <x:f>IFERROR(INDEX(Sheet3!$B$5:$B$200,MATCH(DATE(YEAR($A61),INT((MONTH($A61)-1)/3)*3+4,0),Sheet3!$A$5:$A$200,0))/3,"")</x:f>
        <x:v>113814.4</x:v>
      </x:c>
      <x:c r="I61" s="162" t="n">
        <x:f>IF(COUNT(H50:H61)=12,SUM(H50:H61),"")</x:f>
        <x:v>1331778.5999999999</x:v>
      </x:c>
      <x:c r="J61" s="162" t="n">
        <x:f>IF(YEAR($A61)&lt;=2020,"",INDEX($G:$G,ROW()-12))</x:f>
        <x:v>76845</x:v>
      </x:c>
      <x:c r="K61" s="162" t="n">
        <x:f>IF(YEAR($A61)&lt;=2020,"",INDEX($I:$I,ROW()-12))</x:f>
        <x:v>1279389.4000000001</x:v>
      </x:c>
      <x:c r="L61" s="162" t="n">
        <x:f>IF(YEAR($A61)&lt;=2020,"",INDEX($E:$E,ROW()-12))</x:f>
        <x:v>6.006380856367889</x:v>
      </x:c>
      <x:c r="M61" s="162" t="n">
        <x:f>IF(OR(G61="",J61=""),"",G61-J61)</x:f>
        <x:v>21017</x:v>
      </x:c>
      <x:c r="N61" s="162" t="n">
        <x:f>IF(OR(I61="",K61=""),"",I61-K61)</x:f>
        <x:v>52389.19999999972</x:v>
      </x:c>
      <x:c r="O61" s="163" t="n">
        <x:f>IFERROR(INDEX(Sheet1!$B$5:$B$500,MATCH($A61,Sheet1!$A$5:$A$500,0)),"")</x:f>
        <x:v>163059</x:v>
      </x:c>
      <x:c r="P61" s="163" t="n">
        <x:f>IFERROR(INDEX(Sheet1!$C$5:$C$500,MATCH($A61,Sheet1!$A$5:$A$500,0)),"")</x:f>
        <x:v>201779</x:v>
      </x:c>
      <x:c r="Q61" s="163" t="n">
        <x:f>IFERROR(INDEX(Sheet1!$H$5:$H$500,MATCH($A61,Sheet1!$A$5:$A$500,0)),"")</x:f>
        <x:v>30861</x:v>
      </x:c>
      <x:c r="R61" s="163" t="n">
        <x:f>IFERROR(INDEX(Sheet1!$I$5:$I$500,MATCH($A61,Sheet1!$A$5:$A$500,0)),"")</x:f>
        <x:v>60448</x:v>
      </x:c>
    </x:row>
    <x:row r="62">
      <x:c r="A62" s="107" t="n">
        <x:v>45596</x:v>
      </x:c>
      <x:c r="B62" s="161" t="n">
        <x:f>IF(OR(C62="",D62=""),"",C62+D62)</x:f>
        <x:v>1.3883166947903993</x:v>
      </x:c>
      <x:c r="C62" s="161" t="n">
        <x:f>IF(OR(M62="",I62=""),"",M62/I62*100)</x:f>
        <x:v>1.635572272312501</x:v>
      </x:c>
      <x:c r="D62" s="161" t="n">
        <x:f>IF(OR(L62="",N62="",I62=""),"",-L62*N62/I62)</x:f>
        <x:v>-0.24725557752210178</x:v>
      </x:c>
      <x:c r="E62" s="161" t="n">
        <x:f>IF(OR(G62="",I62=""),"",G62/I62*100)</x:f>
        <x:v>7.643464239439825</x:v>
      </x:c>
      <x:c r="F62" s="162" t="n">
        <x:f>IF(OR(MONTH($A62)=1,O62="",P62="",Q62="",R62=""),"",P62+R62-O62-Q62)</x:f>
        <x:v>71129</x:v>
      </x:c>
      <x:c r="G62" s="162" t="n">
        <x:f>IF(OR(YEAR($A62)&lt;=2020,F62=""),"",F62+INDEX($F:$F,ROW()-MONTH($A62))-INDEX($F:$F,ROW()-12))</x:f>
        <x:v>102209</x:v>
      </x:c>
      <x:c r="H62" s="163" t="n">
        <x:f>IFERROR(INDEX(Sheet3!$B$5:$B$200,MATCH(DATE(YEAR($A62),INT((MONTH($A62)-1)/3)*3+4,0),Sheet3!$A$5:$A$200,0))/3,"")</x:f>
        <x:v>124504.13333333333</x:v>
      </x:c>
      <x:c r="I62" s="162" t="n">
        <x:f>IF(COUNT(H51:H62)=12,SUM(H51:H62),"")</x:f>
        <x:v>1337207.7999999998</x:v>
      </x:c>
      <x:c r="J62" s="162" t="n">
        <x:f>IF(YEAR($A62)&lt;=2020,"",INDEX($G:$G,ROW()-12))</x:f>
        <x:v>80338</x:v>
      </x:c>
      <x:c r="K62" s="162" t="n">
        <x:f>IF(YEAR($A62)&lt;=2020,"",INDEX($I:$I,ROW()-12))</x:f>
        <x:v>1284350.2000000002</x:v>
      </x:c>
      <x:c r="L62" s="162" t="n">
        <x:f>IF(YEAR($A62)&lt;=2020,"",INDEX($E:$E,ROW()-12))</x:f>
        <x:v>6.255147544649425</x:v>
      </x:c>
      <x:c r="M62" s="162" t="n">
        <x:f>IF(OR(G62="",J62=""),"",G62-J62)</x:f>
        <x:v>21871</x:v>
      </x:c>
      <x:c r="N62" s="162" t="n">
        <x:f>IF(OR(I62="",K62=""),"",I62-K62)</x:f>
        <x:v>52857.59999999963</x:v>
      </x:c>
      <x:c r="O62" s="163" t="n">
        <x:f>IFERROR(INDEX(Sheet1!$B$5:$B$500,MATCH($A62,Sheet1!$A$5:$A$500,0)),"")</x:f>
        <x:v>184981</x:v>
      </x:c>
      <x:c r="P62" s="163" t="n">
        <x:f>IFERROR(INDEX(Sheet1!$C$5:$C$500,MATCH($A62,Sheet1!$A$5:$A$500,0)),"")</x:f>
        <x:v>221465</x:v>
      </x:c>
      <x:c r="Q62" s="163" t="n">
        <x:f>IFERROR(INDEX(Sheet1!$H$5:$H$500,MATCH($A62,Sheet1!$A$5:$A$500,0)),"")</x:f>
        <x:v>35462</x:v>
      </x:c>
      <x:c r="R62" s="163" t="n">
        <x:f>IFERROR(INDEX(Sheet1!$I$5:$I$500,MATCH($A62,Sheet1!$A$5:$A$500,0)),"")</x:f>
        <x:v>70107</x:v>
      </x:c>
    </x:row>
    <x:row r="63">
      <x:c r="A63" s="107" t="n">
        <x:v>45626</x:v>
      </x:c>
      <x:c r="B63" s="161" t="n">
        <x:f>IF(OR(C63="",D63=""),"",C63+D63)</x:f>
        <x:v>1.3740750843879448</x:v>
      </x:c>
      <x:c r="C63" s="161" t="n">
        <x:f>IF(OR(M63="",I63=""),"",M63/I63*100)</x:f>
        <x:v>1.6257558818951066</x:v>
      </x:c>
      <x:c r="D63" s="161" t="n">
        <x:f>IF(OR(L63="",N63="",I63=""),"",-L63*N63/I63)</x:f>
        <x:v>-0.2516807975071617</x:v>
      </x:c>
      <x:c r="E63" s="161" t="n">
        <x:f>IF(OR(G63="",I63=""),"",G63/I63*100)</x:f>
        <x:v>7.710870473553165</x:v>
      </x:c>
      <x:c r="F63" s="162" t="n">
        <x:f>IF(OR(MONTH($A63)=1,O63="",P63="",Q63="",R63=""),"",P63+R63-O63-Q63)</x:f>
        <x:v>84733</x:v>
      </x:c>
      <x:c r="G63" s="162" t="n">
        <x:f>IF(OR(YEAR($A63)&lt;=2020,F63=""),"",F63+INDEX($F:$F,ROW()-MONTH($A63))-INDEX($F:$F,ROW()-12))</x:f>
        <x:v>103529</x:v>
      </x:c>
      <x:c r="H63" s="163" t="n">
        <x:f>IFERROR(INDEX(Sheet3!$B$5:$B$200,MATCH(DATE(YEAR($A63),INT((MONTH($A63)-1)/3)*3+4,0),Sheet3!$A$5:$A$200,0))/3,"")</x:f>
        <x:v>124504.13333333333</x:v>
      </x:c>
      <x:c r="I63" s="162" t="n">
        <x:f>IF(COUNT(H52:H63)=12,SUM(H52:H63),"")</x:f>
        <x:v>1342637</x:v>
      </x:c>
      <x:c r="J63" s="162" t="n">
        <x:f>IF(YEAR($A63)&lt;=2020,"",INDEX($G:$G,ROW()-12))</x:f>
        <x:v>81701</x:v>
      </x:c>
      <x:c r="K63" s="162" t="n">
        <x:f>IF(YEAR($A63)&lt;=2020,"",INDEX($I:$I,ROW()-12))</x:f>
        <x:v>1289311.0000000002</x:v>
      </x:c>
      <x:c r="L63" s="162" t="n">
        <x:f>IF(YEAR($A63)&lt;=2020,"",INDEX($E:$E,ROW()-12))</x:f>
        <x:v>6.3367953891652204</x:v>
      </x:c>
      <x:c r="M63" s="162" t="n">
        <x:f>IF(OR(G63="",J63=""),"",G63-J63)</x:f>
        <x:v>21828</x:v>
      </x:c>
      <x:c r="N63" s="162" t="n">
        <x:f>IF(OR(I63="",K63=""),"",I63-K63)</x:f>
        <x:v>53325.99999999977</x:v>
      </x:c>
      <x:c r="O63" s="163" t="n">
        <x:f>IFERROR(INDEX(Sheet1!$B$5:$B$500,MATCH($A63,Sheet1!$A$5:$A$500,0)),"")</x:f>
        <x:v>199010</x:v>
      </x:c>
      <x:c r="P63" s="163" t="n">
        <x:f>IFERROR(INDEX(Sheet1!$C$5:$C$500,MATCH($A63,Sheet1!$A$5:$A$500,0)),"")</x:f>
        <x:v>245053</x:v>
      </x:c>
      <x:c r="Q63" s="163" t="n">
        <x:f>IFERROR(INDEX(Sheet1!$H$5:$H$500,MATCH($A63,Sheet1!$A$5:$A$500,0)),"")</x:f>
        <x:v>42348</x:v>
      </x:c>
      <x:c r="R63" s="163" t="n">
        <x:f>IFERROR(INDEX(Sheet1!$I$5:$I$500,MATCH($A63,Sheet1!$A$5:$A$500,0)),"")</x:f>
        <x:v>81038</x:v>
      </x:c>
    </x:row>
    <x:row r="64">
      <x:c r="A64" s="107" t="n">
        <x:v>45657</x:v>
      </x:c>
      <x:c r="B64" s="161" t="n">
        <x:f>IF(OR(C64="",D64=""),"",C64+D64)</x:f>
        <x:v>0.9049105735539016</x:v>
      </x:c>
      <x:c r="C64" s="161" t="n">
        <x:f>IF(OR(M64="",I64=""),"",M64/I64*100)</x:f>
        <x:v>1.1775386104925705</x:v>
      </x:c>
      <x:c r="D64" s="161" t="n">
        <x:f>IF(OR(L64="",N64="",I64=""),"",-L64*N64/I64)</x:f>
        <x:v>-0.27262803693866894</x:v>
      </x:c>
      <x:c r="E64" s="161" t="n">
        <x:f>IF(OR(G64="",I64=""),"",G64/I64*100)</x:f>
        <x:v>7.736860400475881</x:v>
      </x:c>
      <x:c r="F64" s="162" t="n">
        <x:f>IF(OR(MONTH($A64)=1,O64="",P64="",Q64="",R64=""),"",P64+R64-O64-Q64)</x:f>
        <x:v>104298</x:v>
      </x:c>
      <x:c r="G64" s="162" t="n">
        <x:f>IF(OR(YEAR($A64)&lt;=2020,F64=""),"",F64+INDEX($F:$F,ROW()-MONTH($A64))-INDEX($F:$F,ROW()-12))</x:f>
        <x:v>104298</x:v>
      </x:c>
      <x:c r="H64" s="163" t="n">
        <x:f>IFERROR(INDEX(Sheet3!$B$5:$B$200,MATCH(DATE(YEAR($A64),INT((MONTH($A64)-1)/3)*3+4,0),Sheet3!$A$5:$A$200,0))/3,"")</x:f>
        <x:v>124504.13333333333</x:v>
      </x:c>
      <x:c r="I64" s="162" t="n">
        <x:f>IF(COUNT(H53:H64)=12,SUM(H53:H64),"")</x:f>
        <x:v>1348066.2000000002</x:v>
      </x:c>
      <x:c r="J64" s="162" t="n">
        <x:f>IF(YEAR($A64)&lt;=2020,"",INDEX($G:$G,ROW()-12))</x:f>
        <x:v>88424</x:v>
      </x:c>
      <x:c r="K64" s="162" t="n">
        <x:f>IF(YEAR($A64)&lt;=2020,"",INDEX($I:$I,ROW()-12))</x:f>
        <x:v>1294271.8000000003</x:v>
      </x:c>
      <x:c r="L64" s="162" t="n">
        <x:f>IF(YEAR($A64)&lt;=2020,"",INDEX($E:$E,ROW()-12))</x:f>
        <x:v>6.83194982692198</x:v>
      </x:c>
      <x:c r="M64" s="162" t="n">
        <x:f>IF(OR(G64="",J64=""),"",G64-J64)</x:f>
        <x:v>15874</x:v>
      </x:c>
      <x:c r="N64" s="162" t="n">
        <x:f>IF(OR(I64="",K64=""),"",I64-K64)</x:f>
        <x:v>53794.39999999991</x:v>
      </x:c>
      <x:c r="O64" s="163" t="n">
        <x:f>IFERROR(INDEX(Sheet1!$B$5:$B$500,MATCH($A64,Sheet1!$A$5:$A$500,0)),"")</x:f>
        <x:v>219702</x:v>
      </x:c>
      <x:c r="P64" s="163" t="n">
        <x:f>IFERROR(INDEX(Sheet1!$C$5:$C$500,MATCH($A64,Sheet1!$A$5:$A$500,0)),"")</x:f>
        <x:v>284612</x:v>
      </x:c>
      <x:c r="Q64" s="163" t="n">
        <x:f>IFERROR(INDEX(Sheet1!$H$5:$H$500,MATCH($A64,Sheet1!$A$5:$A$500,0)),"")</x:f>
        <x:v>62090</x:v>
      </x:c>
      <x:c r="R64" s="163" t="n">
        <x:f>IFERROR(INDEX(Sheet1!$I$5:$I$500,MATCH($A64,Sheet1!$A$5:$A$500,0)),"")</x:f>
        <x:v>101478</x:v>
      </x:c>
    </x:row>
    <x:row r="65">
      <x:c r="A65" s="107" t="n">
        <x:v>45688</x:v>
      </x:c>
      <x:c r="B65" s="161" t="str">
        <x:f>IF(OR(C65="",D65=""),"",C65+D65)</x:f>
      </x:c>
      <x:c r="C65" s="161" t="str">
        <x:f>IF(OR(M65="",I65=""),"",M65/I65*100)</x:f>
      </x:c>
      <x:c r="D65" s="161" t="str">
        <x:f>IF(OR(L65="",N65="",I65=""),"",-L65*N65/I65)</x:f>
      </x:c>
      <x:c r="E65" s="161" t="str">
        <x:f>IF(OR(G65="",I65=""),"",G65/I65*100)</x:f>
      </x:c>
      <x:c r="F65" s="162" t="str">
        <x:f>IF(OR(MONTH($A65)=1,O65="",P65="",Q65="",R65=""),"",P65+R65-O65-Q65)</x:f>
      </x:c>
      <x:c r="G65" s="162" t="str">
        <x:f>IF(OR(YEAR($A65)&lt;=2020,F65=""),"",F65+INDEX($F:$F,ROW()-MONTH($A65))-INDEX($F:$F,ROW()-12))</x:f>
      </x:c>
      <x:c r="H65" s="163" t="n">
        <x:f>IFERROR(INDEX(Sheet3!$B$5:$B$200,MATCH(DATE(YEAR($A65),INT((MONTH($A65)-1)/3)*3+4,0),Sheet3!$A$5:$A$200,0))/3,"")</x:f>
        <x:v>106155.46666666666</x:v>
      </x:c>
      <x:c r="I65" s="162" t="n">
        <x:f>IF(COUNT(H54:H65)=12,SUM(H54:H65),"")</x:f>
        <x:v>1352713.2666666666</x:v>
      </x:c>
      <x:c r="J65" s="162" t="str">
        <x:f>IF(YEAR($A65)&lt;=2020,"",INDEX($G:$G,ROW()-12))</x:f>
      </x:c>
      <x:c r="K65" s="162" t="n">
        <x:f>IF(YEAR($A65)&lt;=2020,"",INDEX($I:$I,ROW()-12))</x:f>
        <x:v>1298323.9333333333</x:v>
      </x:c>
      <x:c r="L65" s="162" t="str">
        <x:f>IF(YEAR($A65)&lt;=2020,"",INDEX($E:$E,ROW()-12))</x:f>
      </x:c>
      <x:c r="M65" s="162" t="str">
        <x:f>IF(OR(G65="",J65=""),"",G65-J65)</x:f>
      </x:c>
      <x:c r="N65" s="162" t="n">
        <x:f>IF(OR(I65="",K65=""),"",I65-K65)</x:f>
        <x:v>54389.333333333256</x:v>
      </x:c>
      <x:c r="O65" s="163" t="n">
        <x:f>IFERROR(INDEX(Sheet1!$B$5:$B$500,MATCH($A65,Sheet1!$A$5:$A$500,0)),"")</x:f>
        <x:v>0</x:v>
      </x:c>
      <x:c r="P65" s="163" t="n">
        <x:f>IFERROR(INDEX(Sheet1!$C$5:$C$500,MATCH($A65,Sheet1!$A$5:$A$500,0)),"")</x:f>
        <x:v>0</x:v>
      </x:c>
      <x:c r="Q65" s="163" t="n">
        <x:f>IFERROR(INDEX(Sheet1!$H$5:$H$500,MATCH($A65,Sheet1!$A$5:$A$500,0)),"")</x:f>
        <x:v>0</x:v>
      </x:c>
      <x:c r="R65" s="163" t="n">
        <x:f>IFERROR(INDEX(Sheet1!$I$5:$I$500,MATCH($A65,Sheet1!$A$5:$A$500,0)),"")</x:f>
        <x:v>0</x:v>
      </x:c>
    </x:row>
    <x:row r="66">
      <x:c r="A66" s="107" t="n">
        <x:v>45716</x:v>
      </x:c>
      <x:c r="B66" s="161" t="n">
        <x:f>IF(OR(C66="",D66=""),"",C66+D66)</x:f>
        <x:v>0.9442998248236536</x:v>
      </x:c>
      <x:c r="C66" s="161" t="n">
        <x:f>IF(OR(M66="",I66=""),"",M66/I66*100)</x:f>
        <x:v>1.2265718682904392</x:v>
      </x:c>
      <x:c r="D66" s="161" t="n">
        <x:f>IF(OR(L66="",N66="",I66=""),"",-L66*N66/I66)</x:f>
        <x:v>-0.2822720434667855</x:v>
      </x:c>
      <x:c r="E66" s="161" t="n">
        <x:f>IF(OR(G66="",I66=""),"",G66/I66*100)</x:f>
        <x:v>7.912563625330635</x:v>
      </x:c>
      <x:c r="F66" s="162" t="n">
        <x:f>IF(OR(MONTH($A66)=1,O66="",P66="",Q66="",R66=""),"",P66+R66-O66-Q66)</x:f>
        <x:v>6217</x:v>
      </x:c>
      <x:c r="G66" s="162" t="n">
        <x:f>IF(OR(YEAR($A66)&lt;=2020,F66=""),"",F66+INDEX($F:$F,ROW()-MONTH($A66))-INDEX($F:$F,ROW()-12))</x:f>
        <x:v>107402</x:v>
      </x:c>
      <x:c r="H66" s="163" t="n">
        <x:f>IFERROR(INDEX(Sheet3!$B$5:$B$200,MATCH(DATE(YEAR($A66),INT((MONTH($A66)-1)/3)*3+4,0),Sheet3!$A$5:$A$200,0))/3,"")</x:f>
        <x:v>106155.46666666666</x:v>
      </x:c>
      <x:c r="I66" s="162" t="n">
        <x:f>IF(COUNT(H55:H66)=12,SUM(H55:H66),"")</x:f>
        <x:v>1357360.3333333335</x:v>
      </x:c>
      <x:c r="J66" s="162" t="n">
        <x:f>IF(YEAR($A66)&lt;=2020,"",INDEX($G:$G,ROW()-12))</x:f>
        <x:v>90753</x:v>
      </x:c>
      <x:c r="K66" s="162" t="n">
        <x:f>IF(YEAR($A66)&lt;=2020,"",INDEX($I:$I,ROW()-12))</x:f>
        <x:v>1302376.0666666667</x:v>
      </x:c>
      <x:c r="L66" s="162" t="n">
        <x:f>IF(YEAR($A66)&lt;=2020,"",INDEX($E:$E,ROW()-12))</x:f>
        <x:v>6.968263800506981</x:v>
      </x:c>
      <x:c r="M66" s="162" t="n">
        <x:f>IF(OR(G66="",J66=""),"",G66-J66)</x:f>
        <x:v>16649</x:v>
      </x:c>
      <x:c r="N66" s="162" t="n">
        <x:f>IF(OR(I66="",K66=""),"",I66-K66)</x:f>
        <x:v>54984.26666666684</x:v>
      </x:c>
      <x:c r="O66" s="163" t="n">
        <x:f>IFERROR(INDEX(Sheet1!$B$5:$B$500,MATCH($A66,Sheet1!$A$5:$A$500,0)),"")</x:f>
        <x:v>43856</x:v>
      </x:c>
      <x:c r="P66" s="163" t="n">
        <x:f>IFERROR(INDEX(Sheet1!$C$5:$C$500,MATCH($A66,Sheet1!$A$5:$A$500,0)),"")</x:f>
        <x:v>45096</x:v>
      </x:c>
      <x:c r="Q66" s="163" t="n">
        <x:f>IFERROR(INDEX(Sheet1!$H$5:$H$500,MATCH($A66,Sheet1!$A$5:$A$500,0)),"")</x:f>
        <x:v>6381</x:v>
      </x:c>
      <x:c r="R66" s="163" t="n">
        <x:f>IFERROR(INDEX(Sheet1!$I$5:$I$500,MATCH($A66,Sheet1!$A$5:$A$500,0)),"")</x:f>
        <x:v>11358</x:v>
      </x:c>
    </x:row>
    <x:row r="67">
      <x:c r="A67" s="107" t="n">
        <x:v>45747</x:v>
      </x:c>
      <x:c r="B67" s="161" t="n">
        <x:f>IF(OR(C67="",D67=""),"",C67+D67)</x:f>
        <x:v>1.3425055736696696</x:v>
      </x:c>
      <x:c r="C67" s="161" t="n">
        <x:f>IF(OR(M67="",I67=""),"",M67/I67*100)</x:f>
        <x:v>1.6204757771506964</x:v>
      </x:c>
      <x:c r="D67" s="161" t="n">
        <x:f>IF(OR(L67="",N67="",I67=""),"",-L67*N67/I67)</x:f>
        <x:v>-0.2779702034810267</x:v>
      </x:c>
      <x:c r="E67" s="161" t="n">
        <x:f>IF(OR(G67="",I67=""),"",G67/I67*100)</x:f>
        <x:v>8.154360982179682</x:v>
      </x:c>
      <x:c r="F67" s="162" t="n">
        <x:f>IF(OR(MONTH($A67)=1,O67="",P67="",Q67="",R67=""),"",P67+R67-O67-Q67)</x:f>
        <x:v>23148</x:v>
      </x:c>
      <x:c r="G67" s="162" t="n">
        <x:f>IF(OR(YEAR($A67)&lt;=2020,F67=""),"",F67+INDEX($F:$F,ROW()-MONTH($A67))-INDEX($F:$F,ROW()-12))</x:f>
        <x:v>111063</x:v>
      </x:c>
      <x:c r="H67" s="163" t="n">
        <x:f>IFERROR(INDEX(Sheet3!$B$5:$B$200,MATCH(DATE(YEAR($A67),INT((MONTH($A67)-1)/3)*3+4,0),Sheet3!$A$5:$A$200,0))/3,"")</x:f>
        <x:v>106155.46666666666</x:v>
      </x:c>
      <x:c r="I67" s="162" t="n">
        <x:f>IF(COUNT(H56:H67)=12,SUM(H56:H67),"")</x:f>
        <x:v>1362007.4000000004</x:v>
      </x:c>
      <x:c r="J67" s="162" t="n">
        <x:f>IF(YEAR($A67)&lt;=2020,"",INDEX($G:$G,ROW()-12))</x:f>
        <x:v>88992</x:v>
      </x:c>
      <x:c r="K67" s="162" t="n">
        <x:f>IF(YEAR($A67)&lt;=2020,"",INDEX($I:$I,ROW()-12))</x:f>
        <x:v>1306428.1999999997</x:v>
      </x:c>
      <x:c r="L67" s="162" t="n">
        <x:f>IF(YEAR($A67)&lt;=2020,"",INDEX($E:$E,ROW()-12))</x:f>
        <x:v>6.811855408510013</x:v>
      </x:c>
      <x:c r="M67" s="162" t="n">
        <x:f>IF(OR(G67="",J67=""),"",G67-J67)</x:f>
        <x:v>22071</x:v>
      </x:c>
      <x:c r="N67" s="162" t="n">
        <x:f>IF(OR(I67="",K67=""),"",I67-K67)</x:f>
        <x:v>55579.20000000065</x:v>
      </x:c>
      <x:c r="O67" s="163" t="n">
        <x:f>IFERROR(INDEX(Sheet1!$B$5:$B$500,MATCH($A67,Sheet1!$A$5:$A$500,0)),"")</x:f>
        <x:v>60189</x:v>
      </x:c>
      <x:c r="P67" s="163" t="n">
        <x:f>IFERROR(INDEX(Sheet1!$C$5:$C$500,MATCH($A67,Sheet1!$A$5:$A$500,0)),"")</x:f>
        <x:v>72815</x:v>
      </x:c>
      <x:c r="Q67" s="163" t="n">
        <x:f>IFERROR(INDEX(Sheet1!$H$5:$H$500,MATCH($A67,Sheet1!$A$5:$A$500,0)),"")</x:f>
        <x:v>9247</x:v>
      </x:c>
      <x:c r="R67" s="163" t="n">
        <x:f>IFERROR(INDEX(Sheet1!$I$5:$I$500,MATCH($A67,Sheet1!$A$5:$A$500,0)),"")</x:f>
        <x:v>19769</x:v>
      </x:c>
    </x:row>
    <x:row r="68">
      <x:c r="A68" s="107" t="n">
        <x:v>45777</x:v>
      </x:c>
      <x:c r="B68" s="161" t="n">
        <x:f>IF(OR(C68="",D68=""),"",C68+D68)</x:f>
        <x:v>1.5100134817457465</x:v>
      </x:c>
      <x:c r="C68" s="161" t="n">
        <x:f>IF(OR(M68="",I68=""),"",M68/I68*100)</x:f>
        <x:v>1.7874115897550422</x:v>
      </x:c>
      <x:c r="D68" s="161" t="n">
        <x:f>IF(OR(L68="",N68="",I68=""),"",-L68*N68/I68)</x:f>
        <x:v>-0.27739810800929576</x:v>
      </x:c>
      <x:c r="E68" s="161" t="n">
        <x:f>IF(OR(G68="",I68=""),"",G68/I68*100)</x:f>
        <x:v>8.310318444124606</x:v>
      </x:c>
      <x:c r="F68" s="162" t="n">
        <x:f>IF(OR(MONTH($A68)=1,O68="",P68="",Q68="",R68=""),"",P68+R68-O68-Q68)</x:f>
        <x:v>26515</x:v>
      </x:c>
      <x:c r="G68" s="162" t="n">
        <x:f>IF(OR(YEAR($A68)&lt;=2020,F68=""),"",F68+INDEX($F:$F,ROW()-MONTH($A68))-INDEX($F:$F,ROW()-12))</x:f>
        <x:v>113542</x:v>
      </x:c>
      <x:c r="H68" s="163" t="n">
        <x:f>IFERROR(INDEX(Sheet3!$B$5:$B$200,MATCH(DATE(YEAR($A68),INT((MONTH($A68)-1)/3)*3+4,0),Sheet3!$A$5:$A$200,0))/3,"")</x:f>
        <x:v>113798.43333333333</x:v>
      </x:c>
      <x:c r="I68" s="162" t="n">
        <x:f>IF(COUNT(H57:H68)=12,SUM(H57:H68),"")</x:f>
        <x:v>1366277.366666667</x:v>
      </x:c>
      <x:c r="J68" s="162" t="n">
        <x:f>IF(YEAR($A68)&lt;=2020,"",INDEX($G:$G,ROW()-12))</x:f>
        <x:v>89121</x:v>
      </x:c>
      <x:c r="K68" s="162" t="n">
        <x:f>IF(YEAR($A68)&lt;=2020,"",INDEX($I:$I,ROW()-12))</x:f>
        <x:v>1310544.1666666665</x:v>
      </x:c>
      <x:c r="L68" s="162" t="n">
        <x:f>IF(YEAR($A68)&lt;=2020,"",INDEX($E:$E,ROW()-12))</x:f>
        <x:v>6.80030496237886</x:v>
      </x:c>
      <x:c r="M68" s="162" t="n">
        <x:f>IF(OR(G68="",J68=""),"",G68-J68)</x:f>
        <x:v>24421</x:v>
      </x:c>
      <x:c r="N68" s="162" t="n">
        <x:f>IF(OR(I68="",K68=""),"",I68-K68)</x:f>
        <x:v>55733.20000000042</x:v>
      </x:c>
      <x:c r="O68" s="163" t="n">
        <x:f>IFERROR(INDEX(Sheet1!$B$5:$B$500,MATCH($A68,Sheet1!$A$5:$A$500,0)),"")</x:f>
        <x:v>80616</x:v>
      </x:c>
      <x:c r="P68" s="163" t="n">
        <x:f>IFERROR(INDEX(Sheet1!$C$5:$C$500,MATCH($A68,Sheet1!$A$5:$A$500,0)),"")</x:f>
        <x:v>93581</x:v>
      </x:c>
      <x:c r="Q68" s="163" t="n">
        <x:f>IFERROR(INDEX(Sheet1!$H$5:$H$500,MATCH($A68,Sheet1!$A$5:$A$500,0)),"")</x:f>
        <x:v>12586</x:v>
      </x:c>
      <x:c r="R68" s="163" t="n">
        <x:f>IFERROR(INDEX(Sheet1!$I$5:$I$500,MATCH($A68,Sheet1!$A$5:$A$500,0)),"")</x:f>
        <x:v>26136</x:v>
      </x:c>
    </x:row>
    <x:row r="69">
      <x:c r="A69" s="107" t="n">
        <x:v>45808</x:v>
      </x:c>
      <x:c r="B69" s="161" t="n">
        <x:f>IF(OR(C69="",D69=""),"",C69+D69)</x:f>
        <x:v>1.5179224298164</x:v>
      </x:c>
      <x:c r="C69" s="161" t="n">
        <x:f>IF(OR(M69="",I69=""),"",M69/I69*100)</x:f>
        <x:v>1.7974570743269962</x:v>
      </x:c>
      <x:c r="D69" s="161" t="n">
        <x:f>IF(OR(L69="",N69="",I69=""),"",-L69*N69/I69)</x:f>
        <x:v>-0.27953464451059623</x:v>
      </x:c>
      <x:c r="E69" s="161" t="n">
        <x:f>IF(OR(G69="",I69=""),"",G69/I69*100)</x:f>
        <x:v>8.373078200874492</x:v>
      </x:c>
      <x:c r="F69" s="162" t="n">
        <x:f>IF(OR(MONTH($A69)=1,O69="",P69="",Q69="",R69=""),"",P69+R69-O69-Q69)</x:f>
        <x:v>32972</x:v>
      </x:c>
      <x:c r="G69" s="162" t="n">
        <x:f>IF(OR(YEAR($A69)&lt;=2020,F69=""),"",F69+INDEX($F:$F,ROW()-MONTH($A69))-INDEX($F:$F,ROW()-12))</x:f>
        <x:v>114757</x:v>
      </x:c>
      <x:c r="H69" s="163" t="n">
        <x:f>IFERROR(INDEX(Sheet3!$B$5:$B$200,MATCH(DATE(YEAR($A69),INT((MONTH($A69)-1)/3)*3+4,0),Sheet3!$A$5:$A$200,0))/3,"")</x:f>
        <x:v>113798.43333333333</x:v>
      </x:c>
      <x:c r="I69" s="162" t="n">
        <x:f>IF(COUNT(H58:H69)=12,SUM(H58:H69),"")</x:f>
        <x:v>1370547.3333333335</x:v>
      </x:c>
      <x:c r="J69" s="162" t="n">
        <x:f>IF(YEAR($A69)&lt;=2020,"",INDEX($G:$G,ROW()-12))</x:f>
        <x:v>90122</x:v>
      </x:c>
      <x:c r="K69" s="162" t="n">
        <x:f>IF(YEAR($A69)&lt;=2020,"",INDEX($I:$I,ROW()-12))</x:f>
        <x:v>1314660.1333333333</x:v>
      </x:c>
      <x:c r="L69" s="162" t="n">
        <x:f>IF(YEAR($A69)&lt;=2020,"",INDEX($E:$E,ROW()-12))</x:f>
        <x:v>6.855155771058091</x:v>
      </x:c>
      <x:c r="M69" s="162" t="n">
        <x:f>IF(OR(G69="",J69=""),"",G69-J69)</x:f>
        <x:v>24635</x:v>
      </x:c>
      <x:c r="N69" s="162" t="n">
        <x:f>IF(OR(I69="",K69=""),"",I69-K69)</x:f>
        <x:v>55887.200000000186</x:v>
      </x:c>
      <x:c r="O69" s="163" t="n">
        <x:f>IFERROR(INDEX(Sheet1!$B$5:$B$500,MATCH($A69,Sheet1!$A$5:$A$500,0)),"")</x:f>
        <x:v>96623</x:v>
      </x:c>
      <x:c r="P69" s="163" t="n">
        <x:f>IFERROR(INDEX(Sheet1!$C$5:$C$500,MATCH($A69,Sheet1!$A$5:$A$500,0)),"")</x:f>
        <x:v>112953</x:v>
      </x:c>
      <x:c r="Q69" s="163" t="n">
        <x:f>IFERROR(INDEX(Sheet1!$H$5:$H$500,MATCH($A69,Sheet1!$A$5:$A$500,0)),"")</x:f>
        <x:v>15483</x:v>
      </x:c>
      <x:c r="R69" s="163" t="n">
        <x:f>IFERROR(INDEX(Sheet1!$I$5:$I$500,MATCH($A69,Sheet1!$A$5:$A$500,0)),"")</x:f>
        <x:v>32125</x:v>
      </x:c>
    </x:row>
    <x:row r="70">
      <x:c r="A70" s="107" t="n">
        <x:v>45838</x:v>
      </x:c>
      <x:c r="B70" s="161" t="n">
        <x:f>IF(OR(C70="",D70=""),"",C70+D70)</x:f>
        <x:v>1.9124115505203287</x:v>
      </x:c>
      <x:c r="C70" s="161" t="n">
        <x:f>IF(OR(M70="",I70=""),"",M70/I70*100)</x:f>
        <x:v>2.1917094002235786</x:v>
      </x:c>
      <x:c r="D70" s="161" t="n">
        <x:f>IF(OR(L70="",N70="",I70=""),"",-L70*N70/I70)</x:f>
        <x:v>-0.27929784970324995</x:v>
      </x:c>
      <x:c r="E70" s="161" t="n">
        <x:f>IF(OR(G70="",I70=""),"",G70/I70*100)</x:f>
        <x:v>8.764219071144943</x:v>
      </x:c>
      <x:c r="F70" s="162" t="n">
        <x:f>IF(OR(MONTH($A70)=1,O70="",P70="",Q70="",R70=""),"",P70+R70-O70-Q70)</x:f>
        <x:v>52536</x:v>
      </x:c>
      <x:c r="G70" s="162" t="n">
        <x:f>IF(OR(YEAR($A70)&lt;=2020,F70=""),"",F70+INDEX($F:$F,ROW()-MONTH($A70))-INDEX($F:$F,ROW()-12))</x:f>
        <x:v>120492</x:v>
      </x:c>
      <x:c r="H70" s="163" t="n">
        <x:f>IFERROR(INDEX(Sheet3!$B$5:$B$200,MATCH(DATE(YEAR($A70),INT((MONTH($A70)-1)/3)*3+4,0),Sheet3!$A$5:$A$200,0))/3,"")</x:f>
        <x:v>113798.43333333333</x:v>
      </x:c>
      <x:c r="I70" s="162" t="n">
        <x:f>IF(COUNT(H59:H70)=12,SUM(H59:H70),"")</x:f>
        <x:v>1374817.3</x:v>
      </x:c>
      <x:c r="J70" s="162" t="n">
        <x:f>IF(YEAR($A70)&lt;=2020,"",INDEX($G:$G,ROW()-12))</x:f>
        <x:v>90360</x:v>
      </x:c>
      <x:c r="K70" s="162" t="n">
        <x:f>IF(YEAR($A70)&lt;=2020,"",INDEX($I:$I,ROW()-12))</x:f>
        <x:v>1318776.1</x:v>
      </x:c>
      <x:c r="L70" s="162" t="n">
        <x:f>IF(YEAR($A70)&lt;=2020,"",INDEX($E:$E,ROW()-12))</x:f>
        <x:v>6.851807520624615</x:v>
      </x:c>
      <x:c r="M70" s="162" t="n">
        <x:f>IF(OR(G70="",J70=""),"",G70-J70)</x:f>
        <x:v>30132</x:v>
      </x:c>
      <x:c r="N70" s="162" t="n">
        <x:f>IF(OR(I70="",K70=""),"",I70-K70)</x:f>
        <x:v>56041.19999999995</x:v>
      </x:c>
      <x:c r="O70" s="163" t="n">
        <x:f>IFERROR(INDEX(Sheet1!$B$5:$B$500,MATCH($A70,Sheet1!$A$5:$A$500,0)),"")</x:f>
        <x:v>115566</x:v>
      </x:c>
      <x:c r="P70" s="163" t="n">
        <x:f>IFERROR(INDEX(Sheet1!$C$5:$C$500,MATCH($A70,Sheet1!$A$5:$A$500,0)),"")</x:f>
        <x:v>141271</x:v>
      </x:c>
      <x:c r="Q70" s="163" t="n">
        <x:f>IFERROR(INDEX(Sheet1!$H$5:$H$500,MATCH($A70,Sheet1!$A$5:$A$500,0)),"")</x:f>
        <x:v>19442</x:v>
      </x:c>
      <x:c r="R70" s="163" t="n">
        <x:f>IFERROR(INDEX(Sheet1!$I$5:$I$500,MATCH($A70,Sheet1!$A$5:$A$500,0)),"")</x:f>
        <x:v>46273</x:v>
      </x:c>
    </x:row>
    <x:row r="71">
      <x:c r="A71" s="107" t="n">
        <x:v>45869</x:v>
      </x:c>
      <x:c r="B71" s="161" t="n">
        <x:f>IF(OR(C71="",D71=""),"",C71+D71)</x:f>
        <x:v>1.8392874917902238</x:v>
      </x:c>
      <x:c r="C71" s="161" t="n">
        <x:f>IF(OR(M71="",I71=""),"",M71/I71*100)</x:f>
        <x:v>2.1253216825087455</x:v>
      </x:c>
      <x:c r="D71" s="161" t="n">
        <x:f>IF(OR(L71="",N71="",I71=""),"",-L71*N71/I71)</x:f>
        <x:v>-0.28603419071852176</x:v>
      </x:c>
      <x:c r="E71" s="161" t="n">
        <x:f>IF(OR(G71="",I71=""),"",G71/I71*100)</x:f>
        <x:v>8.892138818769572</x:v>
      </x:c>
      <x:c r="F71" s="162" t="n">
        <x:f>IF(OR(MONTH($A71)=1,O71="",P71="",Q71="",R71=""),"",P71+R71-O71-Q71)</x:f>
        <x:v>56061</x:v>
      </x:c>
      <x:c r="G71" s="162" t="n">
        <x:f>IF(OR(YEAR($A71)&lt;=2020,F71=""),"",F71+INDEX($F:$F,ROW()-MONTH($A71))-INDEX($F:$F,ROW()-12))</x:f>
        <x:v>122626</x:v>
      </x:c>
      <x:c r="H71" s="163" t="n">
        <x:f>IFERROR(INDEX(Sheet3!$B$5:$B$200,MATCH(DATE(YEAR($A71),INT((MONTH($A71)-1)/3)*3+4,0),Sheet3!$A$5:$A$200,0))/3,"")</x:f>
        <x:v>118035.4</x:v>
      </x:c>
      <x:c r="I71" s="162" t="n">
        <x:f>IF(COUNT(H60:H71)=12,SUM(H60:H71),"")</x:f>
        <x:v>1379038.3</x:v>
      </x:c>
      <x:c r="J71" s="162" t="n">
        <x:f>IF(YEAR($A71)&lt;=2020,"",INDEX($G:$G,ROW()-12))</x:f>
        <x:v>93317</x:v>
      </x:c>
      <x:c r="K71" s="162" t="n">
        <x:f>IF(YEAR($A71)&lt;=2020,"",INDEX($I:$I,ROW()-12))</x:f>
        <x:v>1323110.2666666666</x:v>
      </x:c>
      <x:c r="L71" s="162" t="n">
        <x:f>IF(YEAR($A71)&lt;=2020,"",INDEX($E:$E,ROW()-12))</x:f>
        <x:v>7.05285132697935</x:v>
      </x:c>
      <x:c r="M71" s="162" t="n">
        <x:f>IF(OR(G71="",J71=""),"",G71-J71)</x:f>
        <x:v>29309</x:v>
      </x:c>
      <x:c r="N71" s="162" t="n">
        <x:f>IF(OR(I71="",K71=""),"",I71-K71)</x:f>
        <x:v>55928.03333333344</x:v>
      </x:c>
      <x:c r="O71" s="163" t="n">
        <x:f>IFERROR(INDEX(Sheet1!$B$5:$B$500,MATCH($A71,Sheet1!$A$5:$A$500,0)),"")</x:f>
        <x:v>135839</x:v>
      </x:c>
      <x:c r="P71" s="163" t="n">
        <x:f>IFERROR(INDEX(Sheet1!$C$5:$C$500,MATCH($A71,Sheet1!$A$5:$A$500,0)),"")</x:f>
        <x:v>160737</x:v>
      </x:c>
      <x:c r="Q71" s="163" t="n">
        <x:f>IFERROR(INDEX(Sheet1!$H$5:$H$500,MATCH($A71,Sheet1!$A$5:$A$500,0)),"")</x:f>
        <x:v>23124</x:v>
      </x:c>
      <x:c r="R71" s="163" t="n">
        <x:f>IFERROR(INDEX(Sheet1!$I$5:$I$500,MATCH($A71,Sheet1!$A$5:$A$500,0)),"")</x:f>
        <x:v>54287</x:v>
      </x:c>
    </x:row>
    <x:row r="72">
      <x:c r="A72" s="107" t="n">
        <x:v>45900</x:v>
      </x:c>
      <x:c r="B72" s="161" t="n">
        <x:f>IF(OR(C72="",D72=""),"",C72+D72)</x:f>
        <x:v>1.9610110106033085</x:v>
      </x:c>
      <x:c r="C72" s="161" t="n">
        <x:f>IF(OR(M72="",I72=""),"",M72/I72*100)</x:f>
        <x:v>2.2439032219049606</x:v>
      </x:c>
      <x:c r="D72" s="161" t="n">
        <x:f>IF(OR(L72="",N72="",I72=""),"",-L72*N72/I72)</x:f>
        <x:v>-0.282892211301652</x:v>
      </x:c>
      <x:c r="E72" s="161" t="n">
        <x:f>IF(OR(G72="",I72=""),"",G72/I72*100)</x:f>
        <x:v>8.971925943313739</x:v>
      </x:c>
      <x:c r="F72" s="162" t="n">
        <x:f>IF(OR(MONTH($A72)=1,O72="",P72="",Q72="",R72=""),"",P72+R72-O72-Q72)</x:f>
        <x:v>67279</x:v>
      </x:c>
      <x:c r="G72" s="162" t="n">
        <x:f>IF(OR(YEAR($A72)&lt;=2020,F72=""),"",F72+INDEX($F:$F,ROW()-MONTH($A72))-INDEX($F:$F,ROW()-12))</x:f>
        <x:v>124105</x:v>
      </x:c>
      <x:c r="H72" s="163" t="n">
        <x:f>IFERROR(INDEX(Sheet3!$B$5:$B$200,MATCH(DATE(YEAR($A72),INT((MONTH($A72)-1)/3)*3+4,0),Sheet3!$A$5:$A$200,0))/3,"")</x:f>
        <x:v>118035.4</x:v>
      </x:c>
      <x:c r="I72" s="162" t="n">
        <x:f>IF(COUNT(H61:H72)=12,SUM(H61:H72),"")</x:f>
        <x:v>1383259.2999999998</x:v>
      </x:c>
      <x:c r="J72" s="162" t="n">
        <x:f>IF(YEAR($A72)&lt;=2020,"",INDEX($G:$G,ROW()-12))</x:f>
        <x:v>93066</x:v>
      </x:c>
      <x:c r="K72" s="162" t="n">
        <x:f>IF(YEAR($A72)&lt;=2020,"",INDEX($I:$I,ROW()-12))</x:f>
        <x:v>1327444.433333333</x:v>
      </x:c>
      <x:c r="L72" s="162" t="n">
        <x:f>IF(YEAR($A72)&lt;=2020,"",INDEX($E:$E,ROW()-12))</x:f>
        <x:v>7.010914932710429</x:v>
      </x:c>
      <x:c r="M72" s="162" t="n">
        <x:f>IF(OR(G72="",J72=""),"",G72-J72)</x:f>
        <x:v>31039</x:v>
      </x:c>
      <x:c r="N72" s="162" t="n">
        <x:f>IF(OR(I72="",K72=""),"",I72-K72)</x:f>
        <x:v>55814.8666666667</x:v>
      </x:c>
      <x:c r="O72" s="163" t="n">
        <x:f>IFERROR(INDEX(Sheet1!$B$5:$B$500,MATCH($A72,Sheet1!$A$5:$A$500,0)),"")</x:f>
        <x:v>148198</x:v>
      </x:c>
      <x:c r="P72" s="163" t="n">
        <x:f>IFERROR(INDEX(Sheet1!$C$5:$C$500,MATCH($A72,Sheet1!$A$5:$A$500,0)),"")</x:f>
        <x:v>179324</x:v>
      </x:c>
      <x:c r="Q72" s="163" t="n">
        <x:f>IFERROR(INDEX(Sheet1!$H$5:$H$500,MATCH($A72,Sheet1!$A$5:$A$500,0)),"")</x:f>
        <x:v>26449</x:v>
      </x:c>
      <x:c r="R72" s="163" t="n">
        <x:f>IFERROR(INDEX(Sheet1!$I$5:$I$500,MATCH($A72,Sheet1!$A$5:$A$500,0)),"")</x:f>
        <x:v>62602</x:v>
      </x:c>
    </x:row>
    <x:row r="73">
      <x:c r="A73" s="107" t="n">
        <x:v>45930</x:v>
      </x:c>
      <x:c r="B73" s="161" t="n">
        <x:f>IF(OR(C73="",D73=""),"",C73+D73)</x:f>
        <x:v>1.6166656519034865</x:v>
      </x:c>
      <x:c r="C73" s="161" t="n">
        <x:f>IF(OR(M73="",I73=""),"",M73/I73*100)</x:f>
        <x:v>1.9116667818634976</x:v>
      </x:c>
      <x:c r="D73" s="161" t="n">
        <x:f>IF(OR(L73="",N73="",I73=""),"",-L73*N73/I73)</x:f>
        <x:v>-0.2950011299600111</x:v>
      </x:c>
      <x:c r="E73" s="161" t="n">
        <x:f>IF(OR(G73="",I73=""),"",G73/I73*100)</x:f>
        <x:v>8.964884041957209</x:v>
      </x:c>
      <x:c r="F73" s="162" t="n">
        <x:f>IF(OR(MONTH($A73)=1,O73="",P73="",Q73="",R73=""),"",P73+R73-O73-Q73)</x:f>
        <x:v>88395</x:v>
      </x:c>
      <x:c r="G73" s="162" t="n">
        <x:f>IF(OR(YEAR($A73)&lt;=2020,F73=""),"",F73+INDEX($F:$F,ROW()-MONTH($A73))-INDEX($F:$F,ROW()-12))</x:f>
        <x:v>124386</x:v>
      </x:c>
      <x:c r="H73" s="163" t="n">
        <x:f>IFERROR(INDEX(Sheet3!$B$5:$B$200,MATCH(DATE(YEAR($A73),INT((MONTH($A73)-1)/3)*3+4,0),Sheet3!$A$5:$A$200,0))/3,"")</x:f>
        <x:v>118035.4</x:v>
      </x:c>
      <x:c r="I73" s="162" t="n">
        <x:f>IF(COUNT(H62:H73)=12,SUM(H62:H73),"")</x:f>
        <x:v>1387480.2999999998</x:v>
      </x:c>
      <x:c r="J73" s="162" t="n">
        <x:f>IF(YEAR($A73)&lt;=2020,"",INDEX($G:$G,ROW()-12))</x:f>
        <x:v>97862</x:v>
      </x:c>
      <x:c r="K73" s="162" t="n">
        <x:f>IF(YEAR($A73)&lt;=2020,"",INDEX($I:$I,ROW()-12))</x:f>
        <x:v>1331778.5999999999</x:v>
      </x:c>
      <x:c r="L73" s="162" t="n">
        <x:f>IF(YEAR($A73)&lt;=2020,"",INDEX($E:$E,ROW()-12))</x:f>
        <x:v>7.348218390053724</x:v>
      </x:c>
      <x:c r="M73" s="162" t="n">
        <x:f>IF(OR(G73="",J73=""),"",G73-J73)</x:f>
        <x:v>26524</x:v>
      </x:c>
      <x:c r="N73" s="162" t="n">
        <x:f>IF(OR(I73="",K73=""),"",I73-K73)</x:f>
        <x:v>55701.69999999995</x:v>
      </x:c>
      <x:c r="O73" s="163" t="n">
        <x:f>IFERROR(INDEX(Sheet1!$B$5:$B$500,MATCH($A73,Sheet1!$A$5:$A$500,0)),"")</x:f>
        <x:v>163876</x:v>
      </x:c>
      <x:c r="P73" s="163" t="n">
        <x:f>IFERROR(INDEX(Sheet1!$C$5:$C$500,MATCH($A73,Sheet1!$A$5:$A$500,0)),"")</x:f>
        <x:v>208064</x:v>
      </x:c>
      <x:c r="Q73" s="163" t="n">
        <x:f>IFERROR(INDEX(Sheet1!$H$5:$H$500,MATCH($A73,Sheet1!$A$5:$A$500,0)),"")</x:f>
        <x:v>30717</x:v>
      </x:c>
      <x:c r="R73" s="163" t="n">
        <x:f>IFERROR(INDEX(Sheet1!$I$5:$I$500,MATCH($A73,Sheet1!$A$5:$A$500,0)),"")</x:f>
        <x:v>74924</x:v>
      </x:c>
    </x:row>
    <x:row r="74">
      <x:c r="A74" s="107" t="n">
        <x:v>45961</x:v>
      </x:c>
      <x:c r="B74" s="161" t="n">
        <x:f>IF(OR(C74="",D74=""),"",C74+D74)</x:f>
        <x:v>0.898136996978196</x:v>
      </x:c>
      <x:c r="C74" s="161" t="n">
        <x:f>IF(OR(M74="",I74=""),"",M74/I74*100)</x:f>
        <x:v>1.2004769730455067</x:v>
      </x:c>
      <x:c r="D74" s="161" t="n">
        <x:f>IF(OR(L74="",N74="",I74=""),"",-L74*N74/I74)</x:f>
        <x:v>-0.3023399760673106</x:v>
      </x:c>
      <x:c r="E74" s="161" t="n">
        <x:f>IF(OR(G74="",I74=""),"",G74/I74*100)</x:f>
        <x:v>8.541601236418021</x:v>
      </x:c>
      <x:c r="F74" s="162" t="n">
        <x:f>IF(OR(MONTH($A74)=1,O74="",P74="",Q74="",R74=""),"",P74+R74-O74-Q74)</x:f>
        <x:v>85754</x:v>
      </x:c>
      <x:c r="G74" s="162" t="n">
        <x:f>IF(OR(YEAR($A74)&lt;=2020,F74=""),"",F74+INDEX($F:$F,ROW()-MONTH($A74))-INDEX($F:$F,ROW()-12))</x:f>
        <x:v>118923</x:v>
      </x:c>
      <x:c r="H74" s="163" t="n">
        <x:f>IFERROR(INDEX(Sheet3!$B$5:$B$200,MATCH(DATE(YEAR($A74),INT((MONTH($A74)-1)/3)*3+4,0),Sheet3!$A$5:$A$200,0))/3,"")</x:f>
        <x:v>129303.76666666666</x:v>
      </x:c>
      <x:c r="I74" s="162" t="n">
        <x:f>IF(COUNT(H63:H74)=12,SUM(H63:H74),"")</x:f>
        <x:v>1392279.9333333333</x:v>
      </x:c>
      <x:c r="J74" s="162" t="n">
        <x:f>IF(YEAR($A74)&lt;=2020,"",INDEX($G:$G,ROW()-12))</x:f>
        <x:v>102209</x:v>
      </x:c>
      <x:c r="K74" s="162" t="n">
        <x:f>IF(YEAR($A74)&lt;=2020,"",INDEX($I:$I,ROW()-12))</x:f>
        <x:v>1337207.7999999998</x:v>
      </x:c>
      <x:c r="L74" s="162" t="n">
        <x:f>IF(YEAR($A74)&lt;=2020,"",INDEX($E:$E,ROW()-12))</x:f>
        <x:v>7.643464239439825</x:v>
      </x:c>
      <x:c r="M74" s="162" t="n">
        <x:f>IF(OR(G74="",J74=""),"",G74-J74)</x:f>
        <x:v>16714</x:v>
      </x:c>
      <x:c r="N74" s="162" t="n">
        <x:f>IF(OR(I74="",K74=""),"",I74-K74)</x:f>
        <x:v>55072.133333333535</x:v>
      </x:c>
      <x:c r="O74" s="163" t="n">
        <x:f>IFERROR(INDEX(Sheet1!$B$5:$B$500,MATCH($A74,Sheet1!$A$5:$A$500,0)),"")</x:f>
        <x:v>186490</x:v>
      </x:c>
      <x:c r="P74" s="163" t="n">
        <x:f>IFERROR(INDEX(Sheet1!$C$5:$C$500,MATCH($A74,Sheet1!$A$5:$A$500,0)),"")</x:f>
        <x:v>225825</x:v>
      </x:c>
      <x:c r="Q74" s="163" t="n">
        <x:f>IFERROR(INDEX(Sheet1!$H$5:$H$500,MATCH($A74,Sheet1!$A$5:$A$500,0)),"")</x:f>
        <x:v>34473</x:v>
      </x:c>
      <x:c r="R74" s="163" t="n">
        <x:f>IFERROR(INDEX(Sheet1!$I$5:$I$500,MATCH($A74,Sheet1!$A$5:$A$500,0)),"")</x:f>
        <x:v>80892</x:v>
      </x:c>
    </x:row>
    <x:row r="75">
      <x:c r="A75" s="107" t="n">
        <x:v>45991</x:v>
      </x:c>
      <x:c r="B75" s="161" t="n">
        <x:f>IF(OR(C75="",D75=""),"",C75+D75)</x:f>
        <x:v>0.8381773294268952</x:v>
      </x:c>
      <x:c r="C75" s="161" t="n">
        <x:f>IF(OR(M75="",I75=""),"",M75/I75*100)</x:f>
        <x:v>1.1386609882181133</x:v>
      </x:c>
      <x:c r="D75" s="161" t="n">
        <x:f>IF(OR(L75="",N75="",I75=""),"",-L75*N75/I75)</x:f>
        <x:v>-0.3004836587912182</x:v>
      </x:c>
      <x:c r="E75" s="161" t="n">
        <x:f>IF(OR(G75="",I75=""),"",G75/I75*100)</x:f>
        <x:v>8.549047802980061</x:v>
      </x:c>
      <x:c r="F75" s="162" t="n">
        <x:f>IF(OR(MONTH($A75)=1,O75="",P75="",Q75="",R75=""),"",P75+R75-O75-Q75)</x:f>
        <x:v>99872</x:v>
      </x:c>
      <x:c r="G75" s="162" t="n">
        <x:f>IF(OR(YEAR($A75)&lt;=2020,F75=""),"",F75+INDEX($F:$F,ROW()-MONTH($A75))-INDEX($F:$F,ROW()-12))</x:f>
        <x:v>119437</x:v>
      </x:c>
      <x:c r="H75" s="163" t="n">
        <x:f>IFERROR(INDEX(Sheet3!$B$5:$B$200,MATCH(DATE(YEAR($A75),INT((MONTH($A75)-1)/3)*3+4,0),Sheet3!$A$5:$A$200,0))/3,"")</x:f>
        <x:v>129303.76666666666</x:v>
      </x:c>
      <x:c r="I75" s="162" t="n">
        <x:f>IF(COUNT(H64:H75)=12,SUM(H64:H75),"")</x:f>
        <x:v>1397079.5666666667</x:v>
      </x:c>
      <x:c r="J75" s="162" t="n">
        <x:f>IF(YEAR($A75)&lt;=2020,"",INDEX($G:$G,ROW()-12))</x:f>
        <x:v>103529</x:v>
      </x:c>
      <x:c r="K75" s="162" t="n">
        <x:f>IF(YEAR($A75)&lt;=2020,"",INDEX($I:$I,ROW()-12))</x:f>
        <x:v>1342637</x:v>
      </x:c>
      <x:c r="L75" s="162" t="n">
        <x:f>IF(YEAR($A75)&lt;=2020,"",INDEX($E:$E,ROW()-12))</x:f>
        <x:v>7.710870473553165</x:v>
      </x:c>
      <x:c r="M75" s="162" t="n">
        <x:f>IF(OR(G75="",J75=""),"",G75-J75)</x:f>
        <x:v>15908</x:v>
      </x:c>
      <x:c r="N75" s="162" t="n">
        <x:f>IF(OR(I75="",K75=""),"",I75-K75)</x:f>
        <x:v>54442.56666666665</x:v>
      </x:c>
      <x:c r="O75" s="163" t="n">
        <x:f>IFERROR(INDEX(Sheet1!$B$5:$B$500,MATCH($A75,Sheet1!$A$5:$A$500,0)),"")</x:f>
        <x:v>200516</x:v>
      </x:c>
      <x:c r="P75" s="163" t="n">
        <x:f>IFERROR(INDEX(Sheet1!$C$5:$C$500,MATCH($A75,Sheet1!$A$5:$A$500,0)),"")</x:f>
        <x:v>248538</x:v>
      </x:c>
      <x:c r="Q75" s="163" t="n">
        <x:f>IFERROR(INDEX(Sheet1!$H$5:$H$500,MATCH($A75,Sheet1!$A$5:$A$500,0)),"")</x:f>
        <x:v>40274</x:v>
      </x:c>
      <x:c r="R75" s="163" t="n">
        <x:f>IFERROR(INDEX(Sheet1!$I$5:$I$500,MATCH($A75,Sheet1!$A$5:$A$500,0)),"")</x:f>
        <x:v>92124</x:v>
      </x:c>
    </x:row>
    <x:row r="76">
      <x:c r="A76" s="107" t="n">
        <x:v>46022</x:v>
      </x:c>
      <x:c r="B76" s="161" t="n">
        <x:f>IF(OR(C76="",D76=""),"",C76+D76)</x:f>
        <x:v>1.288168289585289</x:v>
      </x:c>
      <x:c r="C76" s="161" t="n">
        <x:f>IF(OR(M76="",I76=""),"",M76/I76*100)</x:f>
        <x:v>1.5851579793751132</x:v>
      </x:c>
      <x:c r="D76" s="161" t="n">
        <x:f>IF(OR(L76="",N76="",I76=""),"",-L76*N76/I76)</x:f>
        <x:v>-0.2969896897898241</x:v>
      </x:c>
      <x:c r="E76" s="161" t="n">
        <x:f>IF(OR(G76="",I76=""),"",G76/I76*100)</x:f>
        <x:v>9.02502869006117</x:v>
      </x:c>
      <x:c r="F76" s="162" t="n">
        <x:f>IF(OR(MONTH($A76)=1,O76="",P76="",Q76="",R76=""),"",P76+R76-O76-Q76)</x:f>
        <x:v>126520</x:v>
      </x:c>
      <x:c r="G76" s="162" t="n">
        <x:f>IF(OR(YEAR($A76)&lt;=2020,F76=""),"",F76+INDEX($F:$F,ROW()-MONTH($A76))-INDEX($F:$F,ROW()-12))</x:f>
        <x:v>126520</x:v>
      </x:c>
      <x:c r="H76" s="163" t="n">
        <x:f>IFERROR(INDEX(Sheet3!$B$5:$B$200,MATCH(DATE(YEAR($A76),INT((MONTH($A76)-1)/3)*3+4,0),Sheet3!$A$5:$A$200,0))/3,"")</x:f>
        <x:v>129303.76666666666</x:v>
      </x:c>
      <x:c r="I76" s="162" t="n">
        <x:f>IF(COUNT(H65:H76)=12,SUM(H65:H76),"")</x:f>
        <x:v>1401879.2</x:v>
      </x:c>
      <x:c r="J76" s="162" t="n">
        <x:f>IF(YEAR($A76)&lt;=2020,"",INDEX($G:$G,ROW()-12))</x:f>
        <x:v>104298</x:v>
      </x:c>
      <x:c r="K76" s="162" t="n">
        <x:f>IF(YEAR($A76)&lt;=2020,"",INDEX($I:$I,ROW()-12))</x:f>
        <x:v>1348066.2000000002</x:v>
      </x:c>
      <x:c r="L76" s="162" t="n">
        <x:f>IF(YEAR($A76)&lt;=2020,"",INDEX($E:$E,ROW()-12))</x:f>
        <x:v>7.736860400475881</x:v>
      </x:c>
      <x:c r="M76" s="162" t="n">
        <x:f>IF(OR(G76="",J76=""),"",G76-J76)</x:f>
        <x:v>22222</x:v>
      </x:c>
      <x:c r="N76" s="162" t="n">
        <x:f>IF(OR(I76="",K76=""),"",I76-K76)</x:f>
        <x:v>53812.99999999977</x:v>
      </x:c>
      <x:c r="O76" s="163" t="n">
        <x:f>IFERROR(INDEX(Sheet1!$B$5:$B$500,MATCH($A76,Sheet1!$A$5:$A$500,0)),"")</x:f>
        <x:v>216045</x:v>
      </x:c>
      <x:c r="P76" s="163" t="n">
        <x:f>IFERROR(INDEX(Sheet1!$C$5:$C$500,MATCH($A76,Sheet1!$A$5:$A$500,0)),"")</x:f>
        <x:v>287395</x:v>
      </x:c>
      <x:c r="Q76" s="163" t="n">
        <x:f>IFERROR(INDEX(Sheet1!$H$5:$H$500,MATCH($A76,Sheet1!$A$5:$A$500,0)),"")</x:f>
        <x:v>57704</x:v>
      </x:c>
      <x:c r="R76" s="163" t="n">
        <x:f>IFERROR(INDEX(Sheet1!$I$5:$I$500,MATCH($A76,Sheet1!$A$5:$A$500,0)),"")</x:f>
        <x:v>112874</x:v>
      </x:c>
    </x:row>
    <x:row r="77">
      <x:c r="A77" s="107" t="n">
        <x:v>46053</x:v>
      </x:c>
      <x:c r="B77" s="161" t="str">
        <x:f>IF(OR(C77="",D77=""),"",C77+D77)</x:f>
      </x:c>
      <x:c r="C77" s="161" t="str">
        <x:f>IF(OR(M77="",I77=""),"",M77/I77*100)</x:f>
      </x:c>
      <x:c r="D77" s="161" t="str">
        <x:f>IF(OR(L77="",N77="",I77=""),"",-L77*N77/I77)</x:f>
      </x:c>
      <x:c r="E77" s="161" t="str">
        <x:f>IF(OR(G77="",I77=""),"",G77/I77*100)</x:f>
      </x:c>
      <x:c r="F77" s="162" t="str">
        <x:f>IF(OR(MONTH($A77)=1,O77="",P77="",Q77="",R77=""),"",P77+R77-O77-Q77)</x:f>
      </x:c>
      <x:c r="G77" s="162" t="str">
        <x:f>IF(OR(YEAR($A77)&lt;=2020,F77=""),"",F77+INDEX($F:$F,ROW()-MONTH($A77))-INDEX($F:$F,ROW()-12))</x:f>
      </x:c>
      <x:c r="H77" s="163" t="n">
        <x:f>IFERROR(INDEX(Sheet3!$B$5:$B$200,MATCH(DATE(YEAR($A77),INT((MONTH($A77)-1)/3)*3+4,0),Sheet3!$A$5:$A$200,0))/3,"")</x:f>
        <x:v>111397.63333333333</x:v>
      </x:c>
      <x:c r="I77" s="162" t="n">
        <x:f>IF(COUNT(H66:H77)=12,SUM(H66:H77),"")</x:f>
        <x:v>1407121.3666666667</x:v>
      </x:c>
      <x:c r="J77" s="162" t="str">
        <x:f>IF(YEAR($A77)&lt;=2020,"",INDEX($G:$G,ROW()-12))</x:f>
      </x:c>
      <x:c r="K77" s="162" t="n">
        <x:f>IF(YEAR($A77)&lt;=2020,"",INDEX($I:$I,ROW()-12))</x:f>
        <x:v>1352713.2666666666</x:v>
      </x:c>
      <x:c r="L77" s="162" t="str">
        <x:f>IF(YEAR($A77)&lt;=2020,"",INDEX($E:$E,ROW()-12))</x:f>
      </x:c>
      <x:c r="M77" s="162" t="str">
        <x:f>IF(OR(G77="",J77=""),"",G77-J77)</x:f>
      </x:c>
      <x:c r="N77" s="162" t="n">
        <x:f>IF(OR(I77="",K77=""),"",I77-K77)</x:f>
        <x:v>54408.10000000009</x:v>
      </x:c>
      <x:c r="O77" s="163" t="n">
        <x:f>IFERROR(INDEX(Sheet1!$B$5:$B$500,MATCH($A77,Sheet1!$A$5:$A$500,0)),"")</x:f>
        <x:v>0</x:v>
      </x:c>
      <x:c r="P77" s="163" t="n">
        <x:f>IFERROR(INDEX(Sheet1!$C$5:$C$500,MATCH($A77,Sheet1!$A$5:$A$500,0)),"")</x:f>
        <x:v>0</x:v>
      </x:c>
      <x:c r="Q77" s="163" t="n">
        <x:f>IFERROR(INDEX(Sheet1!$H$5:$H$500,MATCH($A77,Sheet1!$A$5:$A$500,0)),"")</x:f>
        <x:v>0</x:v>
      </x:c>
      <x:c r="R77" s="163" t="n">
        <x:f>IFERROR(INDEX(Sheet1!$I$5:$I$500,MATCH($A77,Sheet1!$A$5:$A$500,0)),"")</x:f>
        <x:v>0</x:v>
      </x:c>
    </x:row>
    <x:row r="78">
      <x:c r="A78" s="107" t="n">
        <x:v>46081</x:v>
      </x:c>
      <x:c r="B78" s="161" t="n">
        <x:f>IF(OR(C78="",D78=""),"",C78+D78)</x:f>
        <x:v>1.3390204687172962</x:v>
      </x:c>
      <x:c r="C78" s="161" t="n">
        <x:f>IF(OR(M78="",I78=""),"",M78/I78*100)</x:f>
        <x:v>1.6471679883361476</x:v>
      </x:c>
      <x:c r="D78" s="161" t="n">
        <x:f>IF(OR(L78="",N78="",I78=""),"",-L78*N78/I78)</x:f>
        <x:v>-0.30814751961885156</x:v>
      </x:c>
      <x:c r="E78" s="161" t="n">
        <x:f>IF(OR(G78="",I78=""),"",G78/I78*100)</x:f>
        <x:v>9.251584094047931</x:v>
      </x:c>
      <x:c r="F78" s="162" t="n">
        <x:f>IF(OR(MONTH($A78)=1,O78="",P78="",Q78="",R78=""),"",P78+R78-O78-Q78)</x:f>
        <x:v>10363</x:v>
      </x:c>
      <x:c r="G78" s="162" t="n">
        <x:f>IF(OR(YEAR($A78)&lt;=2020,F78=""),"",F78+INDEX($F:$F,ROW()-MONTH($A78))-INDEX($F:$F,ROW()-12))</x:f>
        <x:v>130666</x:v>
      </x:c>
      <x:c r="H78" s="163" t="n">
        <x:f>IFERROR(INDEX(Sheet3!$B$5:$B$200,MATCH(DATE(YEAR($A78),INT((MONTH($A78)-1)/3)*3+4,0),Sheet3!$A$5:$A$200,0))/3,"")</x:f>
        <x:v>111397.63333333333</x:v>
      </x:c>
      <x:c r="I78" s="162" t="n">
        <x:f>IF(COUNT(H67:H78)=12,SUM(H67:H78),"")</x:f>
        <x:v>1412363.5333333332</x:v>
      </x:c>
      <x:c r="J78" s="162" t="n">
        <x:f>IF(YEAR($A78)&lt;=2020,"",INDEX($G:$G,ROW()-12))</x:f>
        <x:v>107402</x:v>
      </x:c>
      <x:c r="K78" s="162" t="n">
        <x:f>IF(YEAR($A78)&lt;=2020,"",INDEX($I:$I,ROW()-12))</x:f>
        <x:v>1357360.3333333335</x:v>
      </x:c>
      <x:c r="L78" s="162" t="n">
        <x:f>IF(YEAR($A78)&lt;=2020,"",INDEX($E:$E,ROW()-12))</x:f>
        <x:v>7.912563625330635</x:v>
      </x:c>
      <x:c r="M78" s="162" t="n">
        <x:f>IF(OR(G78="",J78=""),"",G78-J78)</x:f>
        <x:v>23264</x:v>
      </x:c>
      <x:c r="N78" s="162" t="n">
        <x:f>IF(OR(I78="",K78=""),"",I78-K78)</x:f>
        <x:v>55003.19999999972</x:v>
      </x:c>
      <x:c r="O78" s="163" t="n">
        <x:f>IFERROR(INDEX(Sheet1!$B$5:$B$500,MATCH($A78,Sheet1!$A$5:$A$500,0)),"")</x:f>
        <x:v>44154</x:v>
      </x:c>
      <x:c r="P78" s="163" t="n">
        <x:f>IFERROR(INDEX(Sheet1!$C$5:$C$500,MATCH($A78,Sheet1!$A$5:$A$500,0)),"")</x:f>
        <x:v>46706</x:v>
      </x:c>
      <x:c r="Q78" s="163" t="n">
        <x:f>IFERROR(INDEX(Sheet1!$H$5:$H$500,MATCH($A78,Sheet1!$A$5:$A$500,0)),"")</x:f>
        <x:v>5363</x:v>
      </x:c>
      <x:c r="R78" s="163" t="n">
        <x:f>IFERROR(INDEX(Sheet1!$I$5:$I$500,MATCH($A78,Sheet1!$A$5:$A$500,0)),"")</x:f>
        <x:v>13174</x:v>
      </x:c>
    </x:row>
    <x:row r="79">
      <x:c r="A79" s="107" t="n">
        <x:v>46112</x:v>
      </x:c>
      <x:c r="B79" s="161" t="n">
        <x:f>IF(OR(C79="",D79=""),"",C79+D79)</x:f>
        <x:v>0.9526142507782558</x:v>
      </x:c>
      <x:c r="C79" s="161" t="n">
        <x:f>IF(OR(M79="",I79=""),"",M79/I79*100)</x:f>
        <x:v>1.2724271636323135</x:v>
      </x:c>
      <x:c r="D79" s="161" t="n">
        <x:f>IF(OR(L79="",N79="",I79=""),"",-L79*N79/I79)</x:f>
        <x:v>-0.31981291285405766</x:v>
      </x:c>
      <x:c r="E79" s="161" t="n">
        <x:f>IF(OR(G79="",I79=""),"",G79/I79*100)</x:f>
        <x:v>9.10697523295794</x:v>
      </x:c>
      <x:c r="F79" s="162" t="n">
        <x:f>IF(OR(MONTH($A79)=1,O79="",P79="",Q79="",R79=""),"",P79+R79-O79-Q79)</x:f>
        <x:v>25729</x:v>
      </x:c>
      <x:c r="G79" s="162" t="n">
        <x:f>IF(OR(YEAR($A79)&lt;=2020,F79=""),"",F79+INDEX($F:$F,ROW()-MONTH($A79))-INDEX($F:$F,ROW()-12))</x:f>
        <x:v>129101</x:v>
      </x:c>
      <x:c r="H79" s="163" t="n">
        <x:f>IFERROR(INDEX(Sheet3!$B$5:$B$200,MATCH(DATE(YEAR($A79),INT((MONTH($A79)-1)/3)*3+4,0),Sheet3!$A$5:$A$200,0))/3,"")</x:f>
        <x:v>111397.63333333333</x:v>
      </x:c>
      <x:c r="I79" s="162" t="n">
        <x:f>IF(COUNT(H68:H79)=12,SUM(H68:H79),"")</x:f>
        <x:v>1417605.6999999997</x:v>
      </x:c>
      <x:c r="J79" s="162" t="n">
        <x:f>IF(YEAR($A79)&lt;=2020,"",INDEX($G:$G,ROW()-12))</x:f>
        <x:v>111063</x:v>
      </x:c>
      <x:c r="K79" s="162" t="n">
        <x:f>IF(YEAR($A79)&lt;=2020,"",INDEX($I:$I,ROW()-12))</x:f>
        <x:v>1362007.4000000004</x:v>
      </x:c>
      <x:c r="L79" s="162" t="n">
        <x:f>IF(YEAR($A79)&lt;=2020,"",INDEX($E:$E,ROW()-12))</x:f>
        <x:v>8.154360982179682</x:v>
      </x:c>
      <x:c r="M79" s="162" t="n">
        <x:f>IF(OR(G79="",J79=""),"",G79-J79)</x:f>
        <x:v>18038</x:v>
      </x:c>
      <x:c r="N79" s="162" t="n">
        <x:f>IF(OR(I79="",K79=""),"",I79-K79)</x:f>
        <x:v>55598.29999999935</x:v>
      </x:c>
      <x:c r="O79" s="163" t="n">
        <x:f>IFERROR(INDEX(Sheet1!$B$5:$B$500,MATCH($A79,Sheet1!$A$5:$A$500,0)),"")</x:f>
        <x:v>61613</x:v>
      </x:c>
      <x:c r="P79" s="163" t="n">
        <x:f>IFERROR(INDEX(Sheet1!$C$5:$C$500,MATCH($A79,Sheet1!$A$5:$A$500,0)),"")</x:f>
        <x:v>74706</x:v>
      </x:c>
      <x:c r="Q79" s="163" t="n">
        <x:f>IFERROR(INDEX(Sheet1!$H$5:$H$500,MATCH($A79,Sheet1!$A$5:$A$500,0)),"")</x:f>
        <x:v>7751</x:v>
      </x:c>
      <x:c r="R79" s="163" t="n">
        <x:f>IFERROR(INDEX(Sheet1!$I$5:$I$500,MATCH($A79,Sheet1!$A$5:$A$500,0)),"")</x:f>
        <x:v>20387</x:v>
      </x:c>
    </x:row>
    <x:row r="80">
      <x:c r="A80" s="107" t="n">
        <x:v>46142</x:v>
      </x:c>
      <x:c r="B80" s="161" t="n">
        <x:f>IF(OR(C80="",D80=""),"",C80+D80)</x:f>
        <x:v>0.5805068716672726</x:v>
      </x:c>
      <x:c r="C80" s="161" t="n">
        <x:f>IF(OR(M80="",I80=""),"",M80/I80*100)</x:f>
        <x:v>0.9191110864390126</x:v>
      </x:c>
      <x:c r="D80" s="161" t="n">
        <x:f>IF(OR(L80="",N80="",I80=""),"",-L80*N80/I80)</x:f>
        <x:v>-0.33860421477174013</x:v>
      </x:c>
      <x:c r="E80" s="161" t="n">
        <x:f>IF(OR(G80="",I80=""),"",G80/I80*100)</x:f>
        <x:v>8.89082531579188</x:v>
      </x:c>
      <x:c r="F80" s="162" t="n">
        <x:f>IF(OR(MONTH($A80)=1,O80="",P80="",Q80="",R80=""),"",P80+R80-O80-Q80)</x:f>
        <x:v>26628</x:v>
      </x:c>
      <x:c r="G80" s="162" t="n">
        <x:f>IF(OR(YEAR($A80)&lt;=2020,F80=""),"",F80+INDEX($F:$F,ROW()-MONTH($A80))-INDEX($F:$F,ROW()-12))</x:f>
        <x:v>126633</x:v>
      </x:c>
      <x:c r="H80" s="163" t="n">
        <x:f>IFERROR(INDEX(Sheet3!$B$5:$B$200,MATCH(DATE(YEAR($A80),INT((MONTH($A80)-1)/3)*3+4,0),Sheet3!$A$5:$A$200,0))/3,"")</x:f>
        <x:v>120503.7</x:v>
      </x:c>
      <x:c r="I80" s="162" t="n">
        <x:f>IF(COUNT(H69:H80)=12,SUM(H69:H80),"")</x:f>
        <x:v>1424310.9666666663</x:v>
      </x:c>
      <x:c r="J80" s="162" t="n">
        <x:f>IF(YEAR($A80)&lt;=2020,"",INDEX($G:$G,ROW()-12))</x:f>
        <x:v>113542</x:v>
      </x:c>
      <x:c r="K80" s="162" t="n">
        <x:f>IF(YEAR($A80)&lt;=2020,"",INDEX($I:$I,ROW()-12))</x:f>
        <x:v>1366277.366666667</x:v>
      </x:c>
      <x:c r="L80" s="162" t="n">
        <x:f>IF(YEAR($A80)&lt;=2020,"",INDEX($E:$E,ROW()-12))</x:f>
        <x:v>8.310318444124606</x:v>
      </x:c>
      <x:c r="M80" s="162" t="n">
        <x:f>IF(OR(G80="",J80=""),"",G80-J80)</x:f>
        <x:v>13091</x:v>
      </x:c>
      <x:c r="N80" s="162" t="n">
        <x:f>IF(OR(I80="",K80=""),"",I80-K80)</x:f>
        <x:v>58033.599999999395</x:v>
      </x:c>
      <x:c r="O80" s="163" t="n">
        <x:f>IFERROR(INDEX(Sheet1!$B$5:$B$500,MATCH($A80,Sheet1!$A$5:$A$500,0)),"")</x:f>
        <x:v>83404</x:v>
      </x:c>
      <x:c r="P80" s="163" t="n">
        <x:f>IFERROR(INDEX(Sheet1!$C$5:$C$500,MATCH($A80,Sheet1!$A$5:$A$500,0)),"")</x:f>
        <x:v>94809</x:v>
      </x:c>
      <x:c r="Q80" s="163" t="n">
        <x:f>IFERROR(INDEX(Sheet1!$H$5:$H$500,MATCH($A80,Sheet1!$A$5:$A$500,0)),"")</x:f>
        <x:v>10208</x:v>
      </x:c>
      <x:c r="R80" s="163" t="n">
        <x:f>IFERROR(INDEX(Sheet1!$I$5:$I$500,MATCH($A80,Sheet1!$A$5:$A$500,0)),"")</x:f>
        <x:v>25431</x:v>
      </x:c>
    </x:row>
    <x:row r="81">
      <x:c r="A81" s="107" t="n">
        <x:v>46173</x:v>
      </x:c>
      <x:c r="B81" s="161" t="n">
        <x:f>IF(OR(C81="",D81=""),"",C81+D81)</x:f>
        <x:v>0.3742719048906735</x:v>
      </x:c>
      <x:c r="C81" s="161" t="n">
        <x:f>IF(OR(M81="",I81=""),"",M81/I81*100)</x:f>
        <x:v>0.7280839837665947</x:v>
      </x:c>
      <x:c r="D81" s="161" t="n">
        <x:f>IF(OR(L81="",N81="",I81=""),"",-L81*N81/I81)</x:f>
        <x:v>-0.35381207887592114</x:v>
      </x:c>
      <x:c r="E81" s="161" t="n">
        <x:f>IF(OR(G81="",I81=""),"",G81/I81*100)</x:f>
        <x:v>8.747350105765166</x:v>
      </x:c>
      <x:c r="F81" s="162" t="n">
        <x:f>IF(OR(MONTH($A81)=1,O81="",P81="",Q81="",R81=""),"",P81+R81-O81-Q81)</x:f>
        <x:v>31628</x:v>
      </x:c>
      <x:c r="G81" s="162" t="n">
        <x:f>IF(OR(YEAR($A81)&lt;=2020,F81=""),"",F81+INDEX($F:$F,ROW()-MONTH($A81))-INDEX($F:$F,ROW()-12))</x:f>
        <x:v>125176</x:v>
      </x:c>
      <x:c r="H81" s="163" t="n">
        <x:f>IFERROR(INDEX(Sheet3!$B$5:$B$200,MATCH(DATE(YEAR($A81),INT((MONTH($A81)-1)/3)*3+4,0),Sheet3!$A$5:$A$200,0))/3,"")</x:f>
        <x:v>120503.7</x:v>
      </x:c>
      <x:c r="I81" s="162" t="n">
        <x:f>IF(COUNT(H70:H81)=12,SUM(H70:H81),"")</x:f>
        <x:v>1431016.2333333332</x:v>
      </x:c>
      <x:c r="J81" s="162" t="n">
        <x:f>IF(YEAR($A81)&lt;=2020,"",INDEX($G:$G,ROW()-12))</x:f>
        <x:v>114757</x:v>
      </x:c>
      <x:c r="K81" s="162" t="n">
        <x:f>IF(YEAR($A81)&lt;=2020,"",INDEX($I:$I,ROW()-12))</x:f>
        <x:v>1370547.3333333335</x:v>
      </x:c>
      <x:c r="L81" s="162" t="n">
        <x:f>IF(YEAR($A81)&lt;=2020,"",INDEX($E:$E,ROW()-12))</x:f>
        <x:v>8.373078200874492</x:v>
      </x:c>
      <x:c r="M81" s="162" t="n">
        <x:f>IF(OR(G81="",J81=""),"",G81-J81)</x:f>
        <x:v>10419</x:v>
      </x:c>
      <x:c r="N81" s="162" t="n">
        <x:f>IF(OR(I81="",K81=""),"",I81-K81)</x:f>
        <x:v>60468.899999999674</x:v>
      </x:c>
      <x:c r="O81" s="163" t="n">
        <x:f>IFERROR(INDEX(Sheet1!$B$5:$B$500,MATCH($A81,Sheet1!$A$5:$A$500,0)),"")</x:f>
        <x:v>100465</x:v>
      </x:c>
      <x:c r="P81" s="163" t="n">
        <x:f>IFERROR(INDEX(Sheet1!$C$5:$C$500,MATCH($A81,Sheet1!$A$5:$A$500,0)),"")</x:f>
        <x:v>113877</x:v>
      </x:c>
      <x:c r="Q81" s="163" t="n">
        <x:f>IFERROR(INDEX(Sheet1!$H$5:$H$500,MATCH($A81,Sheet1!$A$5:$A$500,0)),"")</x:f>
        <x:v>12518</x:v>
      </x:c>
      <x:c r="R81" s="163" t="n">
        <x:f>IFERROR(INDEX(Sheet1!$I$5:$I$500,MATCH($A81,Sheet1!$A$5:$A$500,0)),"")</x:f>
        <x:v>30734</x:v>
      </x:c>
    </x:row>
    <x:row r="82">
      <x:c r="A82" s="107" t="n">
        <x:v>46203</x:v>
      </x:c>
      <x:c r="B82" s="161" t="n">
        <x:f>IF(OR(C82="",D82=""),"",C82+D82)</x:f>
        <x:v>-0.4366674556199608</x:v>
      </x:c>
      <x:c r="C82" s="161" t="n">
        <x:f>IF(OR(M82="",I82=""),"",M82/I82*100)</x:f>
        <x:v>-0.053209192461822416</x:v>
      </x:c>
      <x:c r="D82" s="161" t="n">
        <x:f>IF(OR(L82="",N82="",I82=""),"",-L82*N82/I82)</x:f>
        <x:v>-0.38345826315813836</x:v>
      </x:c>
      <x:c r="E82" s="161" t="n">
        <x:f>IF(OR(G82="",I82=""),"",G82/I82*100)</x:f>
        <x:v>8.327551615524984</x:v>
      </x:c>
      <x:c r="F82" s="162" t="n">
        <x:f>IF(OR(MONTH($A82)=1,O82="",P82="",Q82="",R82=""),"",P82+R82-O82-Q82)</x:f>
        <x:v>45743</x:v>
      </x:c>
      <x:c r="G82" s="162" t="n">
        <x:f>IF(OR(YEAR($A82)&lt;=2020,F82=""),"",F82+INDEX($F:$F,ROW()-MONTH($A82))-INDEX($F:$F,ROW()-12))</x:f>
        <x:v>119727</x:v>
      </x:c>
      <x:c r="H82" s="163" t="n">
        <x:f>IFERROR(INDEX(Sheet3!$B$5:$B$200,MATCH(DATE(YEAR($A82),INT((MONTH($A82)-1)/3)*3+4,0),Sheet3!$A$5:$A$200,0))/3,"")</x:f>
        <x:v>120503.7</x:v>
      </x:c>
      <x:c r="I82" s="162" t="n">
        <x:f>IF(COUNT(H71:H82)=12,SUM(H71:H82),"")</x:f>
        <x:v>1437721.4999999998</x:v>
      </x:c>
      <x:c r="J82" s="162" t="n">
        <x:f>IF(YEAR($A82)&lt;=2020,"",INDEX($G:$G,ROW()-12))</x:f>
        <x:v>120492</x:v>
      </x:c>
      <x:c r="K82" s="162" t="n">
        <x:f>IF(YEAR($A82)&lt;=2020,"",INDEX($I:$I,ROW()-12))</x:f>
        <x:v>1374817.3</x:v>
      </x:c>
      <x:c r="L82" s="162" t="n">
        <x:f>IF(YEAR($A82)&lt;=2020,"",INDEX($E:$E,ROW()-12))</x:f>
        <x:v>8.764219071144943</x:v>
      </x:c>
      <x:c r="M82" s="162" t="n">
        <x:f>IF(OR(G82="",J82=""),"",G82-J82)</x:f>
        <x:v>-765</x:v>
      </x:c>
      <x:c r="N82" s="162" t="n">
        <x:f>IF(OR(I82="",K82=""),"",I82-K82)</x:f>
        <x:v>62904.19999999972</x:v>
      </x:c>
      <x:c r="O82" s="163" t="n">
        <x:f>IFERROR(INDEX(Sheet1!$B$5:$B$500,MATCH($A82,Sheet1!$A$5:$A$500,0)),"")</x:f>
        <x:v>121047</x:v>
      </x:c>
      <x:c r="P82" s="163" t="n">
        <x:f>IFERROR(INDEX(Sheet1!$C$5:$C$500,MATCH($A82,Sheet1!$A$5:$A$500,0)),"")</x:f>
        <x:v>143329</x:v>
      </x:c>
      <x:c r="Q82" s="163" t="n">
        <x:f>IFERROR(INDEX(Sheet1!$H$5:$H$500,MATCH($A82,Sheet1!$A$5:$A$500,0)),"")</x:f>
        <x:v>15244</x:v>
      </x:c>
      <x:c r="R82" s="163" t="n">
        <x:f>IFERROR(INDEX(Sheet1!$I$5:$I$500,MATCH($A82,Sheet1!$A$5:$A$500,0)),"")</x:f>
        <x:v>38705</x:v>
      </x:c>
    </x:row>
    <x:row r="83">
      <x:c r="A83" s="107"/>
      <x:c r="B83" s="99"/>
      <x:c r="C83" s="99"/>
      <x:c r="D83" s="99"/>
      <x:c r="E83" s="99"/>
      <x:c r="F83" s="102"/>
      <x:c r="G83" s="102"/>
      <x:c r="H83" s="101"/>
      <x:c r="I83" s="102"/>
      <x:c r="J83" s="102"/>
      <x:c r="K83" s="102"/>
      <x:c r="L83" s="99"/>
      <x:c r="M83" s="102"/>
      <x:c r="N83" s="102"/>
      <x:c r="O83" s="101"/>
      <x:c r="P83" s="101"/>
      <x:c r="Q83" s="101"/>
      <x:c r="R83" s="101"/>
    </x:row>
    <x:row r="84">
      <x:c r="A84" s="107"/>
      <x:c r="B84" s="99"/>
      <x:c r="C84" s="99"/>
      <x:c r="D84" s="99"/>
      <x:c r="E84" s="99"/>
      <x:c r="F84" s="102"/>
      <x:c r="G84" s="102"/>
      <x:c r="H84" s="101"/>
      <x:c r="I84" s="102"/>
      <x:c r="J84" s="102"/>
      <x:c r="K84" s="102"/>
      <x:c r="L84" s="99"/>
      <x:c r="M84" s="102"/>
      <x:c r="N84" s="102"/>
      <x:c r="O84" s="101"/>
      <x:c r="P84" s="101"/>
      <x:c r="Q84" s="101"/>
      <x:c r="R84" s="101"/>
    </x:row>
    <x:row r="85">
      <x:c r="A85" s="107"/>
      <x:c r="B85" s="99"/>
      <x:c r="C85" s="99"/>
      <x:c r="D85" s="99"/>
      <x:c r="E85" s="99"/>
      <x:c r="F85" s="102"/>
      <x:c r="G85" s="102"/>
      <x:c r="H85" s="101"/>
      <x:c r="I85" s="102"/>
      <x:c r="J85" s="102"/>
      <x:c r="K85" s="102"/>
      <x:c r="L85" s="99"/>
      <x:c r="M85" s="102"/>
      <x:c r="N85" s="102"/>
      <x:c r="O85" s="101"/>
      <x:c r="P85" s="101"/>
      <x:c r="Q85" s="101"/>
      <x:c r="R85" s="101"/>
    </x:row>
    <x:row r="86">
      <x:c r="A86" s="107"/>
      <x:c r="B86" s="99"/>
      <x:c r="C86" s="99"/>
      <x:c r="D86" s="99"/>
      <x:c r="E86" s="99"/>
      <x:c r="F86" s="102"/>
      <x:c r="G86" s="102"/>
      <x:c r="H86" s="101"/>
      <x:c r="I86" s="102"/>
      <x:c r="J86" s="102"/>
      <x:c r="K86" s="102"/>
      <x:c r="L86" s="99"/>
      <x:c r="M86" s="102"/>
      <x:c r="N86" s="102"/>
      <x:c r="O86" s="101"/>
      <x:c r="P86" s="101"/>
      <x:c r="Q86" s="101"/>
      <x:c r="R86" s="101"/>
    </x:row>
    <x:row r="87">
      <x:c r="A87" s="107"/>
      <x:c r="B87" s="99"/>
      <x:c r="C87" s="99"/>
      <x:c r="D87" s="99"/>
      <x:c r="E87" s="99"/>
      <x:c r="F87" s="102"/>
      <x:c r="G87" s="102"/>
      <x:c r="H87" s="101"/>
      <x:c r="I87" s="102"/>
      <x:c r="J87" s="102"/>
      <x:c r="K87" s="102"/>
      <x:c r="L87" s="99"/>
      <x:c r="M87" s="102"/>
      <x:c r="N87" s="102"/>
      <x:c r="O87" s="101"/>
      <x:c r="P87" s="101"/>
      <x:c r="Q87" s="101"/>
      <x:c r="R87" s="101"/>
    </x:row>
    <x:row r="88">
      <x:c r="A88" s="107"/>
      <x:c r="B88" s="99"/>
      <x:c r="C88" s="99"/>
      <x:c r="D88" s="99"/>
      <x:c r="E88" s="99"/>
      <x:c r="F88" s="102"/>
      <x:c r="G88" s="102"/>
      <x:c r="H88" s="101"/>
      <x:c r="I88" s="102"/>
      <x:c r="J88" s="102"/>
      <x:c r="K88" s="102"/>
      <x:c r="L88" s="99"/>
      <x:c r="M88" s="102"/>
      <x:c r="N88" s="102"/>
      <x:c r="O88" s="101"/>
      <x:c r="P88" s="101"/>
      <x:c r="Q88" s="101"/>
      <x:c r="R88" s="101"/>
    </x:row>
    <x:row r="89">
      <x:c r="A89" s="107"/>
      <x:c r="B89" s="99"/>
      <x:c r="C89" s="99"/>
      <x:c r="D89" s="99"/>
      <x:c r="E89" s="99"/>
      <x:c r="F89" s="102"/>
      <x:c r="G89" s="102"/>
      <x:c r="H89" s="101"/>
      <x:c r="I89" s="102"/>
      <x:c r="J89" s="102"/>
      <x:c r="K89" s="102"/>
      <x:c r="L89" s="99"/>
      <x:c r="M89" s="102"/>
      <x:c r="N89" s="102"/>
      <x:c r="O89" s="101"/>
      <x:c r="P89" s="101"/>
      <x:c r="Q89" s="101"/>
      <x:c r="R89" s="101"/>
    </x:row>
    <x:row r="90">
      <x:c r="A90" s="107"/>
      <x:c r="B90" s="99"/>
      <x:c r="C90" s="99"/>
      <x:c r="D90" s="99"/>
      <x:c r="E90" s="99"/>
      <x:c r="F90" s="102"/>
      <x:c r="G90" s="102"/>
      <x:c r="H90" s="101"/>
      <x:c r="I90" s="102"/>
      <x:c r="J90" s="102"/>
      <x:c r="K90" s="102"/>
      <x:c r="L90" s="99"/>
      <x:c r="M90" s="102"/>
      <x:c r="N90" s="102"/>
      <x:c r="O90" s="101"/>
      <x:c r="P90" s="101"/>
      <x:c r="Q90" s="101"/>
      <x:c r="R90" s="101"/>
    </x:row>
    <x:row r="91">
      <x:c r="A91" s="107"/>
      <x:c r="B91" s="99"/>
      <x:c r="C91" s="99"/>
      <x:c r="D91" s="99"/>
      <x:c r="E91" s="99"/>
      <x:c r="F91" s="102"/>
      <x:c r="G91" s="102"/>
      <x:c r="H91" s="101"/>
      <x:c r="I91" s="102"/>
      <x:c r="J91" s="102"/>
      <x:c r="K91" s="102"/>
      <x:c r="L91" s="99"/>
      <x:c r="M91" s="102"/>
      <x:c r="N91" s="102"/>
      <x:c r="O91" s="101"/>
      <x:c r="P91" s="101"/>
      <x:c r="Q91" s="101"/>
      <x:c r="R91" s="101"/>
    </x:row>
    <x:row r="92">
      <x:c r="A92" s="107"/>
      <x:c r="B92" s="99"/>
      <x:c r="C92" s="99"/>
      <x:c r="D92" s="99"/>
      <x:c r="E92" s="99"/>
      <x:c r="F92" s="102"/>
      <x:c r="G92" s="102"/>
      <x:c r="H92" s="101"/>
      <x:c r="I92" s="102"/>
      <x:c r="J92" s="102"/>
      <x:c r="K92" s="102"/>
      <x:c r="L92" s="99"/>
      <x:c r="M92" s="102"/>
      <x:c r="N92" s="102"/>
      <x:c r="O92" s="101"/>
      <x:c r="P92" s="101"/>
      <x:c r="Q92" s="101"/>
      <x:c r="R92" s="101"/>
    </x:row>
    <x:row r="93">
      <x:c r="A93" s="107"/>
      <x:c r="B93" s="99"/>
      <x:c r="C93" s="99"/>
      <x:c r="D93" s="99"/>
      <x:c r="E93" s="99"/>
      <x:c r="F93" s="102"/>
      <x:c r="G93" s="102"/>
      <x:c r="H93" s="101"/>
      <x:c r="I93" s="102"/>
      <x:c r="J93" s="102"/>
      <x:c r="K93" s="102"/>
      <x:c r="L93" s="99"/>
      <x:c r="M93" s="102"/>
      <x:c r="N93" s="102"/>
      <x:c r="O93" s="101"/>
      <x:c r="P93" s="101"/>
      <x:c r="Q93" s="101"/>
      <x:c r="R93" s="101"/>
    </x:row>
    <x:row r="94">
      <x:c r="A94" s="107"/>
      <x:c r="B94" s="99"/>
      <x:c r="C94" s="99"/>
      <x:c r="D94" s="99"/>
      <x:c r="E94" s="99"/>
      <x:c r="F94" s="102"/>
      <x:c r="G94" s="102"/>
      <x:c r="H94" s="101"/>
      <x:c r="I94" s="102"/>
      <x:c r="J94" s="102"/>
      <x:c r="K94" s="102"/>
      <x:c r="L94" s="99"/>
      <x:c r="M94" s="102"/>
      <x:c r="N94" s="102"/>
      <x:c r="O94" s="101"/>
      <x:c r="P94" s="101"/>
      <x:c r="Q94" s="101"/>
      <x:c r="R94" s="101"/>
    </x:row>
    <x:row r="95">
      <x:c r="A95" s="107"/>
      <x:c r="B95" s="99"/>
      <x:c r="C95" s="99"/>
      <x:c r="D95" s="99"/>
      <x:c r="E95" s="99"/>
      <x:c r="F95" s="102"/>
      <x:c r="G95" s="102"/>
      <x:c r="H95" s="101"/>
      <x:c r="I95" s="102"/>
      <x:c r="J95" s="102"/>
      <x:c r="K95" s="102"/>
      <x:c r="L95" s="99"/>
      <x:c r="M95" s="102"/>
      <x:c r="N95" s="102"/>
      <x:c r="O95" s="101"/>
      <x:c r="P95" s="101"/>
      <x:c r="Q95" s="101"/>
      <x:c r="R95" s="101"/>
    </x:row>
    <x:row r="96">
      <x:c r="A96" s="107"/>
      <x:c r="B96" s="99"/>
      <x:c r="C96" s="99"/>
      <x:c r="D96" s="99"/>
      <x:c r="E96" s="99"/>
      <x:c r="F96" s="102"/>
      <x:c r="G96" s="102"/>
      <x:c r="H96" s="101"/>
      <x:c r="I96" s="102"/>
      <x:c r="J96" s="102"/>
      <x:c r="K96" s="102"/>
      <x:c r="L96" s="99"/>
      <x:c r="M96" s="102"/>
      <x:c r="N96" s="102"/>
      <x:c r="O96" s="101"/>
      <x:c r="P96" s="101"/>
      <x:c r="Q96" s="101"/>
      <x:c r="R96" s="101"/>
    </x:row>
    <x:row r="97">
      <x:c r="A97" s="107"/>
      <x:c r="B97" s="99"/>
      <x:c r="C97" s="99"/>
      <x:c r="D97" s="99"/>
      <x:c r="E97" s="99"/>
      <x:c r="F97" s="102"/>
      <x:c r="G97" s="102"/>
      <x:c r="H97" s="101"/>
      <x:c r="I97" s="102"/>
      <x:c r="J97" s="102"/>
      <x:c r="K97" s="102"/>
      <x:c r="L97" s="99"/>
      <x:c r="M97" s="102"/>
      <x:c r="N97" s="102"/>
      <x:c r="O97" s="101"/>
      <x:c r="P97" s="101"/>
      <x:c r="Q97" s="101"/>
      <x:c r="R97" s="101"/>
    </x:row>
    <x:row r="98">
      <x:c r="A98" s="107"/>
      <x:c r="B98" s="99"/>
      <x:c r="C98" s="99"/>
      <x:c r="D98" s="99"/>
      <x:c r="E98" s="99"/>
      <x:c r="F98" s="102"/>
      <x:c r="G98" s="102"/>
      <x:c r="H98" s="101"/>
      <x:c r="I98" s="102"/>
      <x:c r="J98" s="102"/>
      <x:c r="K98" s="102"/>
      <x:c r="L98" s="99"/>
      <x:c r="M98" s="102"/>
      <x:c r="N98" s="102"/>
      <x:c r="O98" s="101"/>
      <x:c r="P98" s="101"/>
      <x:c r="Q98" s="101"/>
      <x:c r="R98" s="101"/>
    </x:row>
    <x:row r="99">
      <x:c r="A99" s="107"/>
      <x:c r="B99" s="99"/>
      <x:c r="C99" s="99"/>
      <x:c r="D99" s="99"/>
      <x:c r="E99" s="99"/>
      <x:c r="F99" s="102"/>
      <x:c r="G99" s="102"/>
      <x:c r="H99" s="101"/>
      <x:c r="I99" s="102"/>
      <x:c r="J99" s="102"/>
      <x:c r="K99" s="102"/>
      <x:c r="L99" s="99"/>
      <x:c r="M99" s="102"/>
      <x:c r="N99" s="102"/>
      <x:c r="O99" s="101"/>
      <x:c r="P99" s="101"/>
      <x:c r="Q99" s="101"/>
      <x:c r="R99" s="101"/>
    </x:row>
    <x:row r="100">
      <x:c r="A100" s="107"/>
      <x:c r="B100" s="99"/>
      <x:c r="C100" s="99"/>
      <x:c r="D100" s="99"/>
      <x:c r="E100" s="99"/>
      <x:c r="F100" s="102"/>
      <x:c r="G100" s="102"/>
      <x:c r="H100" s="101"/>
      <x:c r="I100" s="102"/>
      <x:c r="J100" s="102"/>
      <x:c r="K100" s="102"/>
      <x:c r="L100" s="99"/>
      <x:c r="M100" s="102"/>
      <x:c r="N100" s="102"/>
      <x:c r="O100" s="101"/>
      <x:c r="P100" s="101"/>
      <x:c r="Q100" s="101"/>
      <x:c r="R100" s="101"/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ad61c84e8f3a4ccb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18" hidden="0" customWidth="1"/>
  </x:cols>
  <x:sheetData>
    <x:row r="1" ht="24" customHeight="1">
      <x:c r="A1" s="77" t="str">
        <x:v>03 财政收支缺口与新增债务融资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</x:row>
    <x:row r="2" ht="34" customHeight="1">
      <x:c r="A2" s="82" t="str">
        <x:v>新增债务口径 = 政府债券净融资12M −（地方再融资债发行12M − 地方债到期偿还12M）。与收支缺口率均按12个月滚动值除以12M名义GDP。最新版HTML将“新增债务口径”和“收支缺口”均画为折线；数据缺口保留为空。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4" ht="30" customHeight="1">
      <x:c r="A4" s="89" t="str">
        <x:v>日期</x:v>
      </x:c>
      <x:c r="B4" s="89" t="str">
        <x:v>收支缺口率 (%)</x:v>
      </x:c>
      <x:c r="C4" s="89" t="str">
        <x:v>新增债务口径 (%)</x:v>
      </x:c>
      <x:c r="D4" s="89" t="str">
        <x:v>新增债务12M (亿元)</x:v>
      </x:c>
      <x:c r="E4" s="89" t="str">
        <x:v>政府债券净融资12M (亿元)</x:v>
      </x:c>
      <x:c r="F4" s="89" t="str">
        <x:v>净再融资12M (亿元)</x:v>
      </x:c>
      <x:c r="G4" s="89" t="str">
        <x:v>再融资债发行12M (亿元)</x:v>
      </x:c>
      <x:c r="H4" s="89" t="str">
        <x:v>地方债到期12M (亿元)</x:v>
      </x:c>
      <x:c r="I4" s="89" t="str">
        <x:v>12M滚动GDP (亿元)</x:v>
      </x:c>
      <x:c r="J4" s="89" t="str">
        <x:v>政府债券净融资累计</x:v>
      </x:c>
      <x:c r="K4" s="89" t="str">
        <x:v>再融资债累计</x:v>
      </x:c>
      <x:c r="L4" s="89" t="str">
        <x:v>地方债到期累计</x:v>
      </x:c>
    </x:row>
    <x:row r="5">
      <x:c r="A5" s="107" t="n">
        <x:v>43861</x:v>
      </x:c>
      <x:c r="B5" s="164" t="str">
        <x:f>'02_收支口径脉冲'!E5</x:f>
      </x:c>
      <x:c r="C5" s="161" t="str">
        <x:f>IF(OR($A5&lt;DATE(2022,2,1),D5="",I5=""),"",D5/I5*100)</x:f>
      </x:c>
      <x:c r="D5" s="162" t="str">
        <x:f>IF(OR(E5="",F5=""),"",E5-F5)</x:f>
      </x:c>
      <x:c r="E5" s="162" t="str">
        <x:f>IF(YEAR($A5)&lt;=2020,"",J5+INDEX($J:$J,ROW()-MONTH($A5))-INDEX($J:$J,ROW()-12))</x:f>
      </x:c>
      <x:c r="F5" s="162" t="str">
        <x:f>IF(OR(G5="",H5=""),"",G5-H5)</x:f>
      </x:c>
      <x:c r="G5" s="162" t="str">
        <x:f>IF(YEAR($A5)&lt;=2020,"",K5+INDEX($K:$K,ROW()-MONTH($A5))-INDEX($K:$K,ROW()-12))</x:f>
      </x:c>
      <x:c r="H5" s="162" t="str">
        <x:f>IF(YEAR($A5)&lt;=2020,"",L5+INDEX($L:$L,ROW()-MONTH($A5))-INDEX($L:$L,ROW()-12))</x:f>
      </x:c>
      <x:c r="I5" s="163" t="n">
        <x:f>'02_收支口径脉冲'!I5</x:f>
        <x:v>0</x:v>
      </x:c>
      <x:c r="J5" s="163" t="n">
        <x:f>IFERROR(INDEX(Sheet4!$B$5:$B$500,MATCH($A5,Sheet4!$A$5:$A$500,0)),"")</x:f>
        <x:v>7613</x:v>
      </x:c>
      <x:c r="K5" s="163" t="n">
        <x:f>IFERROR(INDEX(Sheet4!$G$5:$G$500,MATCH($A5,Sheet4!$A$5:$A$500,0)),"")</x:f>
        <x:v>0</x:v>
      </x:c>
      <x:c r="L5" s="163" t="n">
        <x:f>IFERROR(INDEX(Sheet1!$L$5:$L$500,MATCH($A5,Sheet1!$A$5:$A$500,0)),"")</x:f>
        <x:v>0</x:v>
      </x:c>
    </x:row>
    <x:row r="6">
      <x:c r="A6" s="107" t="n">
        <x:v>43890</x:v>
      </x:c>
      <x:c r="B6" s="164" t="str">
        <x:f>'02_收支口径脉冲'!E6</x:f>
      </x:c>
      <x:c r="C6" s="161" t="str">
        <x:f>IF(OR($A6&lt;DATE(2022,2,1),D6="",I6=""),"",D6/I6*100)</x:f>
      </x:c>
      <x:c r="D6" s="162" t="str">
        <x:f>IF(OR(E6="",F6=""),"",E6-F6)</x:f>
      </x:c>
      <x:c r="E6" s="162" t="str">
        <x:f>IF(YEAR($A6)&lt;=2020,"",J6+INDEX($J:$J,ROW()-MONTH($A6))-INDEX($J:$J,ROW()-12))</x:f>
      </x:c>
      <x:c r="F6" s="162" t="str">
        <x:f>IF(OR(G6="",H6=""),"",G6-H6)</x:f>
      </x:c>
      <x:c r="G6" s="162" t="str">
        <x:f>IF(YEAR($A6)&lt;=2020,"",K6+INDEX($K:$K,ROW()-MONTH($A6))-INDEX($K:$K,ROW()-12))</x:f>
      </x:c>
      <x:c r="H6" s="162" t="str">
        <x:f>IF(YEAR($A6)&lt;=2020,"",L6+INDEX($L:$L,ROW()-MONTH($A6))-INDEX($L:$L,ROW()-12))</x:f>
      </x:c>
      <x:c r="I6" s="163" t="n">
        <x:f>'02_收支口径脉冲'!I6</x:f>
        <x:v>0</x:v>
      </x:c>
      <x:c r="J6" s="163" t="n">
        <x:f>IFERROR(INDEX(Sheet4!$B$5:$B$500,MATCH($A6,Sheet4!$A$5:$A$500,0)),"")</x:f>
        <x:v>9437</x:v>
      </x:c>
      <x:c r="K6" s="163" t="n">
        <x:f>IFERROR(INDEX(Sheet4!$G$5:$G$500,MATCH($A6,Sheet4!$A$5:$A$500,0)),"")</x:f>
        <x:v>0</x:v>
      </x:c>
      <x:c r="L6" s="163" t="n">
        <x:f>IFERROR(INDEX(Sheet1!$L$5:$L$500,MATCH($A6,Sheet1!$A$5:$A$500,0)),"")</x:f>
        <x:v>0</x:v>
      </x:c>
    </x:row>
    <x:row r="7">
      <x:c r="A7" s="107" t="n">
        <x:v>43921</x:v>
      </x:c>
      <x:c r="B7" s="164" t="str">
        <x:f>'02_收支口径脉冲'!E7</x:f>
      </x:c>
      <x:c r="C7" s="161" t="str">
        <x:f>IF(OR($A7&lt;DATE(2022,2,1),D7="",I7=""),"",D7/I7*100)</x:f>
      </x:c>
      <x:c r="D7" s="162" t="str">
        <x:f>IF(OR(E7="",F7=""),"",E7-F7)</x:f>
      </x:c>
      <x:c r="E7" s="162" t="str">
        <x:f>IF(YEAR($A7)&lt;=2020,"",J7+INDEX($J:$J,ROW()-MONTH($A7))-INDEX($J:$J,ROW()-12))</x:f>
      </x:c>
      <x:c r="F7" s="162" t="str">
        <x:f>IF(OR(G7="",H7=""),"",G7-H7)</x:f>
      </x:c>
      <x:c r="G7" s="162" t="str">
        <x:f>IF(YEAR($A7)&lt;=2020,"",K7+INDEX($K:$K,ROW()-MONTH($A7))-INDEX($K:$K,ROW()-12))</x:f>
      </x:c>
      <x:c r="H7" s="162" t="str">
        <x:f>IF(YEAR($A7)&lt;=2020,"",L7+INDEX($L:$L,ROW()-MONTH($A7))-INDEX($L:$L,ROW()-12))</x:f>
      </x:c>
      <x:c r="I7" s="163" t="n">
        <x:f>'02_收支口径脉冲'!I7</x:f>
        <x:v>0</x:v>
      </x:c>
      <x:c r="J7" s="163" t="n">
        <x:f>IFERROR(INDEX(Sheet4!$B$5:$B$500,MATCH($A7,Sheet4!$A$5:$A$500,0)),"")</x:f>
        <x:v>15781</x:v>
      </x:c>
      <x:c r="K7" s="163" t="n">
        <x:f>IFERROR(INDEX(Sheet4!$G$5:$G$500,MATCH($A7,Sheet4!$A$5:$A$500,0)),"")</x:f>
        <x:v>681.25</x:v>
      </x:c>
      <x:c r="L7" s="163" t="n">
        <x:f>IFERROR(INDEX(Sheet1!$L$5:$L$500,MATCH($A7,Sheet1!$A$5:$A$500,0)),"")</x:f>
        <x:v>0</x:v>
      </x:c>
    </x:row>
    <x:row r="8">
      <x:c r="A8" s="107" t="n">
        <x:v>43951</x:v>
      </x:c>
      <x:c r="B8" s="164" t="str">
        <x:f>'02_收支口径脉冲'!E8</x:f>
      </x:c>
      <x:c r="C8" s="161" t="str">
        <x:f>IF(OR($A8&lt;DATE(2022,2,1),D8="",I8=""),"",D8/I8*100)</x:f>
      </x:c>
      <x:c r="D8" s="162" t="str">
        <x:f>IF(OR(E8="",F8=""),"",E8-F8)</x:f>
      </x:c>
      <x:c r="E8" s="162" t="str">
        <x:f>IF(YEAR($A8)&lt;=2020,"",J8+INDEX($J:$J,ROW()-MONTH($A8))-INDEX($J:$J,ROW()-12))</x:f>
      </x:c>
      <x:c r="F8" s="162" t="str">
        <x:f>IF(OR(G8="",H8=""),"",G8-H8)</x:f>
      </x:c>
      <x:c r="G8" s="162" t="str">
        <x:f>IF(YEAR($A8)&lt;=2020,"",K8+INDEX($K:$K,ROW()-MONTH($A8))-INDEX($K:$K,ROW()-12))</x:f>
      </x:c>
      <x:c r="H8" s="162" t="str">
        <x:f>IF(YEAR($A8)&lt;=2020,"",L8+INDEX($L:$L,ROW()-MONTH($A8))-INDEX($L:$L,ROW()-12))</x:f>
      </x:c>
      <x:c r="I8" s="163" t="n">
        <x:f>'02_收支口径脉冲'!I8</x:f>
        <x:v>0</x:v>
      </x:c>
      <x:c r="J8" s="163" t="n">
        <x:f>IFERROR(INDEX(Sheet4!$B$5:$B$500,MATCH($A8,Sheet4!$A$5:$A$500,0)),"")</x:f>
        <x:v>19138</x:v>
      </x:c>
      <x:c r="K8" s="163" t="n">
        <x:f>IFERROR(INDEX(Sheet4!$G$5:$G$500,MATCH($A8,Sheet4!$A$5:$A$500,0)),"")</x:f>
        <x:v>2347.11</x:v>
      </x:c>
      <x:c r="L8" s="163" t="n">
        <x:f>IFERROR(INDEX(Sheet1!$L$5:$L$500,MATCH($A8,Sheet1!$A$5:$A$500,0)),"")</x:f>
        <x:v>0</x:v>
      </x:c>
    </x:row>
    <x:row r="9">
      <x:c r="A9" s="107" t="n">
        <x:v>43982</x:v>
      </x:c>
      <x:c r="B9" s="164" t="str">
        <x:f>'02_收支口径脉冲'!E9</x:f>
      </x:c>
      <x:c r="C9" s="161" t="str">
        <x:f>IF(OR($A9&lt;DATE(2022,2,1),D9="",I9=""),"",D9/I9*100)</x:f>
      </x:c>
      <x:c r="D9" s="162" t="str">
        <x:f>IF(OR(E9="",F9=""),"",E9-F9)</x:f>
      </x:c>
      <x:c r="E9" s="162" t="str">
        <x:f>IF(YEAR($A9)&lt;=2020,"",J9+INDEX($J:$J,ROW()-MONTH($A9))-INDEX($J:$J,ROW()-12))</x:f>
      </x:c>
      <x:c r="F9" s="162" t="str">
        <x:f>IF(OR(G9="",H9=""),"",G9-H9)</x:f>
      </x:c>
      <x:c r="G9" s="162" t="str">
        <x:f>IF(YEAR($A9)&lt;=2020,"",K9+INDEX($K:$K,ROW()-MONTH($A9))-INDEX($K:$K,ROW()-12))</x:f>
      </x:c>
      <x:c r="H9" s="162" t="str">
        <x:f>IF(YEAR($A9)&lt;=2020,"",L9+INDEX($L:$L,ROW()-MONTH($A9))-INDEX($L:$L,ROW()-12))</x:f>
      </x:c>
      <x:c r="I9" s="163" t="n">
        <x:f>'02_收支口径脉冲'!I9</x:f>
        <x:v>0</x:v>
      </x:c>
      <x:c r="J9" s="163" t="n">
        <x:f>IFERROR(INDEX(Sheet4!$B$5:$B$500,MATCH($A9,Sheet4!$A$5:$A$500,0)),"")</x:f>
        <x:v>30500</x:v>
      </x:c>
      <x:c r="K9" s="163" t="n">
        <x:f>IFERROR(INDEX(Sheet4!$G$5:$G$500,MATCH($A9,Sheet4!$A$5:$A$500,0)),"")</x:f>
        <x:v>4973.63</x:v>
      </x:c>
      <x:c r="L9" s="163" t="n">
        <x:f>IFERROR(INDEX(Sheet1!$L$5:$L$500,MATCH($A9,Sheet1!$A$5:$A$500,0)),"")</x:f>
        <x:v>0</x:v>
      </x:c>
    </x:row>
    <x:row r="10">
      <x:c r="A10" s="107" t="n">
        <x:v>44012</x:v>
      </x:c>
      <x:c r="B10" s="164" t="str">
        <x:f>'02_收支口径脉冲'!E10</x:f>
      </x:c>
      <x:c r="C10" s="161" t="str">
        <x:f>IF(OR($A10&lt;DATE(2022,2,1),D10="",I10=""),"",D10/I10*100)</x:f>
      </x:c>
      <x:c r="D10" s="162" t="str">
        <x:f>IF(OR(E10="",F10=""),"",E10-F10)</x:f>
      </x:c>
      <x:c r="E10" s="162" t="str">
        <x:f>IF(YEAR($A10)&lt;=2020,"",J10+INDEX($J:$J,ROW()-MONTH($A10))-INDEX($J:$J,ROW()-12))</x:f>
      </x:c>
      <x:c r="F10" s="162" t="str">
        <x:f>IF(OR(G10="",H10=""),"",G10-H10)</x:f>
      </x:c>
      <x:c r="G10" s="162" t="str">
        <x:f>IF(YEAR($A10)&lt;=2020,"",K10+INDEX($K:$K,ROW()-MONTH($A10))-INDEX($K:$K,ROW()-12))</x:f>
      </x:c>
      <x:c r="H10" s="162" t="str">
        <x:f>IF(YEAR($A10)&lt;=2020,"",L10+INDEX($L:$L,ROW()-MONTH($A10))-INDEX($L:$L,ROW()-12))</x:f>
      </x:c>
      <x:c r="I10" s="163" t="n">
        <x:f>'02_收支口径脉冲'!I10</x:f>
        <x:v>0</x:v>
      </x:c>
      <x:c r="J10" s="163" t="n">
        <x:f>IFERROR(INDEX(Sheet4!$B$5:$B$500,MATCH($A10,Sheet4!$A$5:$A$500,0)),"")</x:f>
        <x:v>37950</x:v>
      </x:c>
      <x:c r="K10" s="163" t="n">
        <x:f>IFERROR(INDEX(Sheet4!$G$5:$G$500,MATCH($A10,Sheet4!$A$5:$A$500,0)),"")</x:f>
        <x:v>6995</x:v>
      </x:c>
      <x:c r="L10" s="163" t="n">
        <x:f>IFERROR(INDEX(Sheet1!$L$5:$L$500,MATCH($A10,Sheet1!$A$5:$A$500,0)),"")</x:f>
        <x:v>0</x:v>
      </x:c>
    </x:row>
    <x:row r="11">
      <x:c r="A11" s="107" t="n">
        <x:v>44043</x:v>
      </x:c>
      <x:c r="B11" s="164" t="str">
        <x:f>'02_收支口径脉冲'!E11</x:f>
      </x:c>
      <x:c r="C11" s="161" t="str">
        <x:f>IF(OR($A11&lt;DATE(2022,2,1),D11="",I11=""),"",D11/I11*100)</x:f>
      </x:c>
      <x:c r="D11" s="162" t="str">
        <x:f>IF(OR(E11="",F11=""),"",E11-F11)</x:f>
      </x:c>
      <x:c r="E11" s="162" t="str">
        <x:f>IF(YEAR($A11)&lt;=2020,"",J11+INDEX($J:$J,ROW()-MONTH($A11))-INDEX($J:$J,ROW()-12))</x:f>
      </x:c>
      <x:c r="F11" s="162" t="str">
        <x:f>IF(OR(G11="",H11=""),"",G11-H11)</x:f>
      </x:c>
      <x:c r="G11" s="162" t="str">
        <x:f>IF(YEAR($A11)&lt;=2020,"",K11+INDEX($K:$K,ROW()-MONTH($A11))-INDEX($K:$K,ROW()-12))</x:f>
      </x:c>
      <x:c r="H11" s="162" t="str">
        <x:f>IF(YEAR($A11)&lt;=2020,"",L11+INDEX($L:$L,ROW()-MONTH($A11))-INDEX($L:$L,ROW()-12))</x:f>
      </x:c>
      <x:c r="I11" s="163" t="n">
        <x:f>'02_收支口径脉冲'!I11</x:f>
        <x:v>0</x:v>
      </x:c>
      <x:c r="J11" s="163" t="n">
        <x:f>IFERROR(INDEX(Sheet4!$B$5:$B$500,MATCH($A11,Sheet4!$A$5:$A$500,0)),"")</x:f>
        <x:v>43409</x:v>
      </x:c>
      <x:c r="K11" s="163" t="n">
        <x:f>IFERROR(INDEX(Sheet4!$G$5:$G$500,MATCH($A11,Sheet4!$A$5:$A$500,0)),"")</x:f>
        <x:v>9295.91</x:v>
      </x:c>
      <x:c r="L11" s="163" t="n">
        <x:f>IFERROR(INDEX(Sheet1!$L$5:$L$500,MATCH($A11,Sheet1!$A$5:$A$500,0)),"")</x:f>
        <x:v>0</x:v>
      </x:c>
    </x:row>
    <x:row r="12">
      <x:c r="A12" s="107" t="n">
        <x:v>44074</x:v>
      </x:c>
      <x:c r="B12" s="164" t="str">
        <x:f>'02_收支口径脉冲'!E12</x:f>
      </x:c>
      <x:c r="C12" s="161" t="str">
        <x:f>IF(OR($A12&lt;DATE(2022,2,1),D12="",I12=""),"",D12/I12*100)</x:f>
      </x:c>
      <x:c r="D12" s="162" t="str">
        <x:f>IF(OR(E12="",F12=""),"",E12-F12)</x:f>
      </x:c>
      <x:c r="E12" s="162" t="str">
        <x:f>IF(YEAR($A12)&lt;=2020,"",J12+INDEX($J:$J,ROW()-MONTH($A12))-INDEX($J:$J,ROW()-12))</x:f>
      </x:c>
      <x:c r="F12" s="162" t="str">
        <x:f>IF(OR(G12="",H12=""),"",G12-H12)</x:f>
      </x:c>
      <x:c r="G12" s="162" t="str">
        <x:f>IF(YEAR($A12)&lt;=2020,"",K12+INDEX($K:$K,ROW()-MONTH($A12))-INDEX($K:$K,ROW()-12))</x:f>
      </x:c>
      <x:c r="H12" s="162" t="str">
        <x:f>IF(YEAR($A12)&lt;=2020,"",L12+INDEX($L:$L,ROW()-MONTH($A12))-INDEX($L:$L,ROW()-12))</x:f>
      </x:c>
      <x:c r="I12" s="163" t="n">
        <x:f>'02_收支口径脉冲'!I12</x:f>
        <x:v>0</x:v>
      </x:c>
      <x:c r="J12" s="163" t="n">
        <x:f>IFERROR(INDEX(Sheet4!$B$5:$B$500,MATCH($A12,Sheet4!$A$5:$A$500,0)),"")</x:f>
        <x:v>57197</x:v>
      </x:c>
      <x:c r="K12" s="163" t="n">
        <x:f>IFERROR(INDEX(Sheet4!$G$5:$G$500,MATCH($A12,Sheet4!$A$5:$A$500,0)),"")</x:f>
        <x:v>12084.58</x:v>
      </x:c>
      <x:c r="L12" s="163" t="n">
        <x:f>IFERROR(INDEX(Sheet1!$L$5:$L$500,MATCH($A12,Sheet1!$A$5:$A$500,0)),"")</x:f>
        <x:v>0</x:v>
      </x:c>
    </x:row>
    <x:row r="13">
      <x:c r="A13" s="107" t="n">
        <x:v>44104</x:v>
      </x:c>
      <x:c r="B13" s="164" t="str">
        <x:f>'02_收支口径脉冲'!E13</x:f>
      </x:c>
      <x:c r="C13" s="161" t="str">
        <x:f>IF(OR($A13&lt;DATE(2022,2,1),D13="",I13=""),"",D13/I13*100)</x:f>
      </x:c>
      <x:c r="D13" s="162" t="str">
        <x:f>IF(OR(E13="",F13=""),"",E13-F13)</x:f>
      </x:c>
      <x:c r="E13" s="162" t="str">
        <x:f>IF(YEAR($A13)&lt;=2020,"",J13+INDEX($J:$J,ROW()-MONTH($A13))-INDEX($J:$J,ROW()-12))</x:f>
      </x:c>
      <x:c r="F13" s="162" t="str">
        <x:f>IF(OR(G13="",H13=""),"",G13-H13)</x:f>
      </x:c>
      <x:c r="G13" s="162" t="str">
        <x:f>IF(YEAR($A13)&lt;=2020,"",K13+INDEX($K:$K,ROW()-MONTH($A13))-INDEX($K:$K,ROW()-12))</x:f>
      </x:c>
      <x:c r="H13" s="162" t="str">
        <x:f>IF(YEAR($A13)&lt;=2020,"",L13+INDEX($L:$L,ROW()-MONTH($A13))-INDEX($L:$L,ROW()-12))</x:f>
      </x:c>
      <x:c r="I13" s="163" t="n">
        <x:f>'02_收支口径脉冲'!I13</x:f>
        <x:v>0</x:v>
      </x:c>
      <x:c r="J13" s="163" t="n">
        <x:f>IFERROR(INDEX(Sheet4!$B$5:$B$500,MATCH($A13,Sheet4!$A$5:$A$500,0)),"")</x:f>
        <x:v>67313</x:v>
      </x:c>
      <x:c r="K13" s="163" t="n">
        <x:f>IFERROR(INDEX(Sheet4!$G$5:$G$500,MATCH($A13,Sheet4!$A$5:$A$500,0)),"")</x:f>
        <x:v>13743.79</x:v>
      </x:c>
      <x:c r="L13" s="163" t="n">
        <x:f>IFERROR(INDEX(Sheet1!$L$5:$L$500,MATCH($A13,Sheet1!$A$5:$A$500,0)),"")</x:f>
        <x:v>0</x:v>
      </x:c>
    </x:row>
    <x:row r="14">
      <x:c r="A14" s="107" t="n">
        <x:v>44135</x:v>
      </x:c>
      <x:c r="B14" s="164" t="str">
        <x:f>'02_收支口径脉冲'!E14</x:f>
      </x:c>
      <x:c r="C14" s="161" t="str">
        <x:f>IF(OR($A14&lt;DATE(2022,2,1),D14="",I14=""),"",D14/I14*100)</x:f>
      </x:c>
      <x:c r="D14" s="162" t="str">
        <x:f>IF(OR(E14="",F14=""),"",E14-F14)</x:f>
      </x:c>
      <x:c r="E14" s="162" t="str">
        <x:f>IF(YEAR($A14)&lt;=2020,"",J14+INDEX($J:$J,ROW()-MONTH($A14))-INDEX($J:$J,ROW()-12))</x:f>
      </x:c>
      <x:c r="F14" s="162" t="str">
        <x:f>IF(OR(G14="",H14=""),"",G14-H14)</x:f>
      </x:c>
      <x:c r="G14" s="162" t="str">
        <x:f>IF(YEAR($A14)&lt;=2020,"",K14+INDEX($K:$K,ROW()-MONTH($A14))-INDEX($K:$K,ROW()-12))</x:f>
      </x:c>
      <x:c r="H14" s="162" t="str">
        <x:f>IF(YEAR($A14)&lt;=2020,"",L14+INDEX($L:$L,ROW()-MONTH($A14))-INDEX($L:$L,ROW()-12))</x:f>
      </x:c>
      <x:c r="I14" s="163" t="n">
        <x:f>'02_收支口径脉冲'!I14</x:f>
        <x:v>0</x:v>
      </x:c>
      <x:c r="J14" s="163" t="n">
        <x:f>IFERROR(INDEX(Sheet4!$B$5:$B$500,MATCH($A14,Sheet4!$A$5:$A$500,0)),"")</x:f>
        <x:v>72244</x:v>
      </x:c>
      <x:c r="K14" s="163" t="n">
        <x:f>IFERROR(INDEX(Sheet4!$G$5:$G$500,MATCH($A14,Sheet4!$A$5:$A$500,0)),"")</x:f>
        <x:v>16273.8</x:v>
      </x:c>
      <x:c r="L14" s="163" t="n">
        <x:f>IFERROR(INDEX(Sheet1!$L$5:$L$500,MATCH($A14,Sheet1!$A$5:$A$500,0)),"")</x:f>
        <x:v>0</x:v>
      </x:c>
    </x:row>
    <x:row r="15">
      <x:c r="A15" s="107" t="n">
        <x:v>44165</x:v>
      </x:c>
      <x:c r="B15" s="164" t="str">
        <x:f>'02_收支口径脉冲'!E15</x:f>
      </x:c>
      <x:c r="C15" s="161" t="str">
        <x:f>IF(OR($A15&lt;DATE(2022,2,1),D15="",I15=""),"",D15/I15*100)</x:f>
      </x:c>
      <x:c r="D15" s="162" t="str">
        <x:f>IF(OR(E15="",F15=""),"",E15-F15)</x:f>
      </x:c>
      <x:c r="E15" s="162" t="str">
        <x:f>IF(YEAR($A15)&lt;=2020,"",J15+INDEX($J:$J,ROW()-MONTH($A15))-INDEX($J:$J,ROW()-12))</x:f>
      </x:c>
      <x:c r="F15" s="162" t="str">
        <x:f>IF(OR(G15="",H15=""),"",G15-H15)</x:f>
      </x:c>
      <x:c r="G15" s="162" t="str">
        <x:f>IF(YEAR($A15)&lt;=2020,"",K15+INDEX($K:$K,ROW()-MONTH($A15))-INDEX($K:$K,ROW()-12))</x:f>
      </x:c>
      <x:c r="H15" s="162" t="str">
        <x:f>IF(YEAR($A15)&lt;=2020,"",L15+INDEX($L:$L,ROW()-MONTH($A15))-INDEX($L:$L,ROW()-12))</x:f>
      </x:c>
      <x:c r="I15" s="163" t="n">
        <x:f>'02_收支口径脉冲'!I15</x:f>
        <x:v>0</x:v>
      </x:c>
      <x:c r="J15" s="163" t="n">
        <x:f>IFERROR(INDEX(Sheet4!$B$5:$B$500,MATCH($A15,Sheet4!$A$5:$A$500,0)),"")</x:f>
        <x:v>76244</x:v>
      </x:c>
      <x:c r="K15" s="163" t="n">
        <x:f>IFERROR(INDEX(Sheet4!$G$5:$G$500,MATCH($A15,Sheet4!$A$5:$A$500,0)),"")</x:f>
        <x:v>17657.45</x:v>
      </x:c>
      <x:c r="L15" s="163" t="n">
        <x:f>IFERROR(INDEX(Sheet1!$L$5:$L$500,MATCH($A15,Sheet1!$A$5:$A$500,0)),"")</x:f>
        <x:v>0</x:v>
      </x:c>
    </x:row>
    <x:row r="16">
      <x:c r="A16" s="107" t="n">
        <x:v>44196</x:v>
      </x:c>
      <x:c r="B16" s="164" t="str">
        <x:f>'02_收支口径脉冲'!E16</x:f>
      </x:c>
      <x:c r="C16" s="161" t="str">
        <x:f>IF(OR($A16&lt;DATE(2022,2,1),D16="",I16=""),"",D16/I16*100)</x:f>
      </x:c>
      <x:c r="D16" s="162" t="str">
        <x:f>IF(OR(E16="",F16=""),"",E16-F16)</x:f>
      </x:c>
      <x:c r="E16" s="162" t="str">
        <x:f>IF(YEAR($A16)&lt;=2020,"",J16+INDEX($J:$J,ROW()-MONTH($A16))-INDEX($J:$J,ROW()-12))</x:f>
      </x:c>
      <x:c r="F16" s="162" t="str">
        <x:f>IF(OR(G16="",H16=""),"",G16-H16)</x:f>
      </x:c>
      <x:c r="G16" s="162" t="str">
        <x:f>IF(YEAR($A16)&lt;=2020,"",K16+INDEX($K:$K,ROW()-MONTH($A16))-INDEX($K:$K,ROW()-12))</x:f>
      </x:c>
      <x:c r="H16" s="162" t="str">
        <x:f>IF(YEAR($A16)&lt;=2020,"",L16+INDEX($L:$L,ROW()-MONTH($A16))-INDEX($L:$L,ROW()-12))</x:f>
      </x:c>
      <x:c r="I16" s="163" t="n">
        <x:f>'02_收支口径脉冲'!I16</x:f>
        <x:v>1034867.4999999999</x:v>
      </x:c>
      <x:c r="J16" s="163" t="n">
        <x:f>IFERROR(INDEX(Sheet4!$B$5:$B$500,MATCH($A16,Sheet4!$A$5:$A$500,0)),"")</x:f>
        <x:v>83370</x:v>
      </x:c>
      <x:c r="K16" s="163" t="n">
        <x:f>IFERROR(INDEX(Sheet4!$G$5:$G$500,MATCH($A16,Sheet4!$A$5:$A$500,0)),"")</x:f>
        <x:v>18913.27</x:v>
      </x:c>
      <x:c r="L16" s="163" t="n">
        <x:f>IFERROR(INDEX(Sheet1!$L$5:$L$500,MATCH($A16,Sheet1!$A$5:$A$500,0)),"")</x:f>
        <x:v>0</x:v>
      </x:c>
    </x:row>
    <x:row r="17">
      <x:c r="A17" s="107" t="n">
        <x:v>44227</x:v>
      </x:c>
      <x:c r="B17" s="164" t="str">
        <x:f>'02_收支口径脉冲'!E17</x:f>
      </x:c>
      <x:c r="C17" s="161" t="str">
        <x:f>IF(OR($A17&lt;DATE(2022,2,1),D17="",I17=""),"",D17/I17*100)</x:f>
      </x:c>
      <x:c r="D17" s="162" t="str">
        <x:f>IF(OR(E17="",F17=""),"",E17-F17)</x:f>
      </x:c>
      <x:c r="E17" s="162" t="n">
        <x:f>IF(YEAR($A17)&lt;=2020,"",J17+INDEX($J:$J,ROW()-MONTH($A17))-INDEX($J:$J,ROW()-12))</x:f>
        <x:v>78194</x:v>
      </x:c>
      <x:c r="F17" s="162" t="str">
        <x:f>IF(OR(G17="",H17=""),"",G17-H17)</x:f>
      </x:c>
      <x:c r="G17" s="162" t="n">
        <x:f>IF(YEAR($A17)&lt;=2020,"",K17+INDEX($K:$K,ROW()-MONTH($A17))-INDEX($K:$K,ROW()-12))</x:f>
        <x:v>22536.63</x:v>
      </x:c>
      <x:c r="H17" s="162" t="n">
        <x:f>IF(YEAR($A17)&lt;=2020,"",L17+INDEX($L:$L,ROW()-MONTH($A17))-INDEX($L:$L,ROW()-12))</x:f>
        <x:v>0</x:v>
      </x:c>
      <x:c r="I17" s="163" t="n">
        <x:f>'02_收支口径脉冲'!I17</x:f>
        <x:v>1049995.5333333332</x:v>
      </x:c>
      <x:c r="J17" s="163" t="n">
        <x:f>IFERROR(INDEX(Sheet4!$B$5:$B$500,MATCH($A17,Sheet4!$A$5:$A$500,0)),"")</x:f>
        <x:v>2437</x:v>
      </x:c>
      <x:c r="K17" s="163" t="n">
        <x:f>IFERROR(INDEX(Sheet4!$G$5:$G$500,MATCH($A17,Sheet4!$A$5:$A$500,0)),"")</x:f>
        <x:v>3623.36</x:v>
      </x:c>
      <x:c r="L17" s="163" t="n">
        <x:f>IFERROR(INDEX(Sheet1!$L$5:$L$500,MATCH($A17,Sheet1!$A$5:$A$500,0)),"")</x:f>
        <x:v>0</x:v>
      </x:c>
    </x:row>
    <x:row r="18">
      <x:c r="A18" s="107" t="n">
        <x:v>44255</x:v>
      </x:c>
      <x:c r="B18" s="164" t="n">
        <x:f>'02_收支口径脉冲'!E18</x:f>
        <x:v>7.249299744783916</x:v>
      </x:c>
      <x:c r="C18" s="161" t="str">
        <x:f>IF(OR($A18&lt;DATE(2022,2,1),D18="",I18=""),"",D18/I18*100)</x:f>
      </x:c>
      <x:c r="D18" s="162" t="n">
        <x:f>IF(OR(E18="",F18=""),"",E18-F18)</x:f>
        <x:v>54923.13</x:v>
      </x:c>
      <x:c r="E18" s="162" t="n">
        <x:f>IF(YEAR($A18)&lt;=2020,"",J18+INDEX($J:$J,ROW()-MONTH($A18))-INDEX($J:$J,ROW()-12))</x:f>
        <x:v>77387</x:v>
      </x:c>
      <x:c r="F18" s="162" t="n">
        <x:f>IF(OR(G18="",H18=""),"",G18-H18)</x:f>
        <x:v>22463.870000000003</x:v>
      </x:c>
      <x:c r="G18" s="162" t="n">
        <x:f>IF(YEAR($A18)&lt;=2020,"",K18+INDEX($K:$K,ROW()-MONTH($A18))-INDEX($K:$K,ROW()-12))</x:f>
        <x:v>23093.870000000003</x:v>
      </x:c>
      <x:c r="H18" s="162" t="n">
        <x:f>IF(YEAR($A18)&lt;=2020,"",L18+INDEX($L:$L,ROW()-MONTH($A18))-INDEX($L:$L,ROW()-12))</x:f>
        <x:v>630</x:v>
      </x:c>
      <x:c r="I18" s="163" t="n">
        <x:f>'02_收支口径脉冲'!I18</x:f>
        <x:v>1065123.5666666667</x:v>
      </x:c>
      <x:c r="J18" s="163" t="n">
        <x:f>IFERROR(INDEX(Sheet4!$B$5:$B$500,MATCH($A18,Sheet4!$A$5:$A$500,0)),"")</x:f>
        <x:v>3454</x:v>
      </x:c>
      <x:c r="K18" s="163" t="n">
        <x:f>IFERROR(INDEX(Sheet4!$G$5:$G$500,MATCH($A18,Sheet4!$A$5:$A$500,0)),"")</x:f>
        <x:v>4180.6</x:v>
      </x:c>
      <x:c r="L18" s="163" t="n">
        <x:f>IFERROR(INDEX(Sheet1!$L$5:$L$500,MATCH($A18,Sheet1!$A$5:$A$500,0)),"")</x:f>
        <x:v>630</x:v>
      </x:c>
    </x:row>
    <x:row r="19">
      <x:c r="A19" s="107" t="n">
        <x:v>44286</x:v>
      </x:c>
      <x:c r="B19" s="164" t="n">
        <x:f>'02_收支口径脉冲'!E19</x:f>
        <x:v>6.576708611216128</x:v>
      </x:c>
      <x:c r="C19" s="161" t="str">
        <x:f>IF(OR($A19&lt;DATE(2022,2,1),D19="",I19=""),"",D19/I19*100)</x:f>
      </x:c>
      <x:c r="D19" s="162" t="n">
        <x:f>IF(OR(E19="",F19=""),"",E19-F19)</x:f>
        <x:v>50866.88</x:v>
      </x:c>
      <x:c r="E19" s="162" t="n">
        <x:f>IF(YEAR($A19)&lt;=2020,"",J19+INDEX($J:$J,ROW()-MONTH($A19))-INDEX($J:$J,ROW()-12))</x:f>
        <x:v>74173</x:v>
      </x:c>
      <x:c r="F19" s="162" t="n">
        <x:f>IF(OR(G19="",H19=""),"",G19-H19)</x:f>
        <x:v>23306.120000000003</x:v>
      </x:c>
      <x:c r="G19" s="162" t="n">
        <x:f>IF(YEAR($A19)&lt;=2020,"",K19+INDEX($K:$K,ROW()-MONTH($A19))-INDEX($K:$K,ROW()-12))</x:f>
        <x:v>26819.120000000003</x:v>
      </x:c>
      <x:c r="H19" s="162" t="n">
        <x:f>IF(YEAR($A19)&lt;=2020,"",L19+INDEX($L:$L,ROW()-MONTH($A19))-INDEX($L:$L,ROW()-12))</x:f>
        <x:v>3513</x:v>
      </x:c>
      <x:c r="I19" s="163" t="n">
        <x:f>'02_收支口径脉冲'!I19</x:f>
        <x:v>1080251.5999999999</x:v>
      </x:c>
      <x:c r="J19" s="163" t="n">
        <x:f>IFERROR(INDEX(Sheet4!$B$5:$B$500,MATCH($A19,Sheet4!$A$5:$A$500,0)),"")</x:f>
        <x:v>6584</x:v>
      </x:c>
      <x:c r="K19" s="163" t="n">
        <x:f>IFERROR(INDEX(Sheet4!$G$5:$G$500,MATCH($A19,Sheet4!$A$5:$A$500,0)),"")</x:f>
        <x:v>8587.1</x:v>
      </x:c>
      <x:c r="L19" s="163" t="n">
        <x:f>IFERROR(INDEX(Sheet1!$L$5:$L$500,MATCH($A19,Sheet1!$A$5:$A$500,0)),"")</x:f>
        <x:v>3513</x:v>
      </x:c>
    </x:row>
    <x:row r="20">
      <x:c r="A20" s="107" t="n">
        <x:v>44316</x:v>
      </x:c>
      <x:c r="B20" s="164" t="n">
        <x:f>'02_收支口径脉冲'!E20</x:f>
        <x:v>5.966871880423192</x:v>
      </x:c>
      <x:c r="C20" s="161" t="str">
        <x:f>IF(OR($A20&lt;DATE(2022,2,1),D20="",I20=""),"",D20/I20*100)</x:f>
      </x:c>
      <x:c r="D20" s="162" t="n">
        <x:f>IF(OR(E20="",F20=""),"",E20-F20)</x:f>
        <x:v>52319.69</x:v>
      </x:c>
      <x:c r="E20" s="162" t="n">
        <x:f>IF(YEAR($A20)&lt;=2020,"",J20+INDEX($J:$J,ROW()-MONTH($A20))-INDEX($J:$J,ROW()-12))</x:f>
        <x:v>74555</x:v>
      </x:c>
      <x:c r="F20" s="162" t="n">
        <x:f>IF(OR(G20="",H20=""),"",G20-H20)</x:f>
        <x:v>22235.309999999998</x:v>
      </x:c>
      <x:c r="G20" s="162" t="n">
        <x:f>IF(YEAR($A20)&lt;=2020,"",K20+INDEX($K:$K,ROW()-MONTH($A20))-INDEX($K:$K,ROW()-12))</x:f>
        <x:v>29512.309999999998</x:v>
      </x:c>
      <x:c r="H20" s="162" t="n">
        <x:f>IF(YEAR($A20)&lt;=2020,"",L20+INDEX($L:$L,ROW()-MONTH($A20))-INDEX($L:$L,ROW()-12))</x:f>
        <x:v>7277</x:v>
      </x:c>
      <x:c r="I20" s="163" t="n">
        <x:f>'02_收支口径脉冲'!I20</x:f>
        <x:v>1091761.3333333335</x:v>
      </x:c>
      <x:c r="J20" s="163" t="n">
        <x:f>IFERROR(INDEX(Sheet4!$B$5:$B$500,MATCH($A20,Sheet4!$A$5:$A$500,0)),"")</x:f>
        <x:v>10323</x:v>
      </x:c>
      <x:c r="K20" s="163" t="n">
        <x:f>IFERROR(INDEX(Sheet4!$G$5:$G$500,MATCH($A20,Sheet4!$A$5:$A$500,0)),"")</x:f>
        <x:v>12946.15</x:v>
      </x:c>
      <x:c r="L20" s="163" t="n">
        <x:f>IFERROR(INDEX(Sheet1!$L$5:$L$500,MATCH($A20,Sheet1!$A$5:$A$500,0)),"")</x:f>
        <x:v>7277</x:v>
      </x:c>
    </x:row>
    <x:row r="21">
      <x:c r="A21" s="107" t="n">
        <x:v>44347</x:v>
      </x:c>
      <x:c r="B21" s="164" t="n">
        <x:f>'02_收支口径脉冲'!E21</x:f>
        <x:v>5.7454601969682155</x:v>
      </x:c>
      <x:c r="C21" s="161" t="str">
        <x:f>IF(OR($A21&lt;DATE(2022,2,1),D21="",I21=""),"",D21/I21*100)</x:f>
      </x:c>
      <x:c r="D21" s="162" t="n">
        <x:f>IF(OR(E21="",F21=""),"",E21-F21)</x:f>
        <x:v>50113.36</x:v>
      </x:c>
      <x:c r="E21" s="162" t="n">
        <x:f>IF(YEAR($A21)&lt;=2020,"",J21+INDEX($J:$J,ROW()-MONTH($A21))-INDEX($J:$J,ROW()-12))</x:f>
        <x:v>69894</x:v>
      </x:c>
      <x:c r="F21" s="162" t="n">
        <x:f>IF(OR(G21="",H21=""),"",G21-H21)</x:f>
        <x:v>19780.640000000003</x:v>
      </x:c>
      <x:c r="G21" s="162" t="n">
        <x:f>IF(YEAR($A21)&lt;=2020,"",K21+INDEX($K:$K,ROW()-MONTH($A21))-INDEX($K:$K,ROW()-12))</x:f>
        <x:v>29937.640000000003</x:v>
      </x:c>
      <x:c r="H21" s="162" t="n">
        <x:f>IF(YEAR($A21)&lt;=2020,"",L21+INDEX($L:$L,ROW()-MONTH($A21))-INDEX($L:$L,ROW()-12))</x:f>
        <x:v>10157</x:v>
      </x:c>
      <x:c r="I21" s="163" t="n">
        <x:f>'02_收支口径脉冲'!I21</x:f>
        <x:v>1103271.0666666667</x:v>
      </x:c>
      <x:c r="J21" s="163" t="n">
        <x:f>IFERROR(INDEX(Sheet4!$B$5:$B$500,MATCH($A21,Sheet4!$A$5:$A$500,0)),"")</x:f>
        <x:v>17024</x:v>
      </x:c>
      <x:c r="K21" s="163" t="n">
        <x:f>IFERROR(INDEX(Sheet4!$G$5:$G$500,MATCH($A21,Sheet4!$A$5:$A$500,0)),"")</x:f>
        <x:v>15998</x:v>
      </x:c>
      <x:c r="L21" s="163" t="n">
        <x:f>IFERROR(INDEX(Sheet1!$L$5:$L$500,MATCH($A21,Sheet1!$A$5:$A$500,0)),"")</x:f>
        <x:v>10157</x:v>
      </x:c>
    </x:row>
    <x:row r="22">
      <x:c r="A22" s="107" t="n">
        <x:v>44377</x:v>
      </x:c>
      <x:c r="B22" s="164" t="n">
        <x:f>'02_收支口径脉冲'!E22</x:f>
        <x:v>5.419540774293924</x:v>
      </x:c>
      <x:c r="C22" s="161" t="str">
        <x:f>IF(OR($A22&lt;DATE(2022,2,1),D22="",I22=""),"",D22/I22*100)</x:f>
      </x:c>
      <x:c r="D22" s="162" t="n">
        <x:f>IF(OR(E22="",F22=""),"",E22-F22)</x:f>
        <x:v>53599.729999999996</x:v>
      </x:c>
      <x:c r="E22" s="162" t="n">
        <x:f>IF(YEAR($A22)&lt;=2020,"",J22+INDEX($J:$J,ROW()-MONTH($A22))-INDEX($J:$J,ROW()-12))</x:f>
        <x:v>69952</x:v>
      </x:c>
      <x:c r="F22" s="162" t="n">
        <x:f>IF(OR(G22="",H22=""),"",G22-H22)</x:f>
        <x:v>16352.270000000004</x:v>
      </x:c>
      <x:c r="G22" s="162" t="n">
        <x:f>IF(YEAR($A22)&lt;=2020,"",K22+INDEX($K:$K,ROW()-MONTH($A22))-INDEX($K:$K,ROW()-12))</x:f>
        <x:v>30529.270000000004</x:v>
      </x:c>
      <x:c r="H22" s="162" t="n">
        <x:f>IF(YEAR($A22)&lt;=2020,"",L22+INDEX($L:$L,ROW()-MONTH($A22))-INDEX($L:$L,ROW()-12))</x:f>
        <x:v>14177</x:v>
      </x:c>
      <x:c r="I22" s="163" t="n">
        <x:f>'02_收支口径脉冲'!I22</x:f>
        <x:v>1114780.8</x:v>
      </x:c>
      <x:c r="J22" s="163" t="n">
        <x:f>IFERROR(INDEX(Sheet4!$B$5:$B$500,MATCH($A22,Sheet4!$A$5:$A$500,0)),"")</x:f>
        <x:v>24532</x:v>
      </x:c>
      <x:c r="K22" s="163" t="n">
        <x:f>IFERROR(INDEX(Sheet4!$G$5:$G$500,MATCH($A22,Sheet4!$A$5:$A$500,0)),"")</x:f>
        <x:v>18611</x:v>
      </x:c>
      <x:c r="L22" s="163" t="n">
        <x:f>IFERROR(INDEX(Sheet1!$L$5:$L$500,MATCH($A22,Sheet1!$A$5:$A$500,0)),"")</x:f>
        <x:v>14177</x:v>
      </x:c>
    </x:row>
    <x:row r="23">
      <x:c r="A23" s="107" t="n">
        <x:v>44408</x:v>
      </x:c>
      <x:c r="B23" s="164" t="n">
        <x:f>'02_收支口径脉冲'!E23</x:f>
        <x:v>5.090864083767671</x:v>
      </x:c>
      <x:c r="C23" s="161" t="str">
        <x:f>IF(OR($A23&lt;DATE(2022,2,1),D23="",I23=""),"",D23/I23*100)</x:f>
      </x:c>
      <x:c r="D23" s="162" t="n">
        <x:f>IF(OR(E23="",F23=""),"",E23-F23)</x:f>
        <x:v>52241.64</x:v>
      </x:c>
      <x:c r="E23" s="162" t="n">
        <x:f>IF(YEAR($A23)&lt;=2020,"",J23+INDEX($J:$J,ROW()-MONTH($A23))-INDEX($J:$J,ROW()-12))</x:f>
        <x:v>66313</x:v>
      </x:c>
      <x:c r="F23" s="162" t="n">
        <x:f>IF(OR(G23="",H23=""),"",G23-H23)</x:f>
        <x:v>14071.360000000004</x:v>
      </x:c>
      <x:c r="G23" s="162" t="n">
        <x:f>IF(YEAR($A23)&lt;=2020,"",K23+INDEX($K:$K,ROW()-MONTH($A23))-INDEX($K:$K,ROW()-12))</x:f>
        <x:v>30763.360000000004</x:v>
      </x:c>
      <x:c r="H23" s="162" t="n">
        <x:f>IF(YEAR($A23)&lt;=2020,"",L23+INDEX($L:$L,ROW()-MONTH($A23))-INDEX($L:$L,ROW()-12))</x:f>
        <x:v>16692</x:v>
      </x:c>
      <x:c r="I23" s="163" t="n">
        <x:f>'02_收支口径脉冲'!I23</x:f>
        <x:v>1124131.3666666667</x:v>
      </x:c>
      <x:c r="J23" s="163" t="n">
        <x:f>IFERROR(INDEX(Sheet4!$B$5:$B$500,MATCH($A23,Sheet4!$A$5:$A$500,0)),"")</x:f>
        <x:v>26352</x:v>
      </x:c>
      <x:c r="K23" s="163" t="n">
        <x:f>IFERROR(INDEX(Sheet4!$G$5:$G$500,MATCH($A23,Sheet4!$A$5:$A$500,0)),"")</x:f>
        <x:v>21146</x:v>
      </x:c>
      <x:c r="L23" s="163" t="n">
        <x:f>IFERROR(INDEX(Sheet1!$L$5:$L$500,MATCH($A23,Sheet1!$A$5:$A$500,0)),"")</x:f>
        <x:v>16692</x:v>
      </x:c>
    </x:row>
    <x:row r="24">
      <x:c r="A24" s="107" t="n">
        <x:v>44439</x:v>
      </x:c>
      <x:c r="B24" s="164" t="n">
        <x:f>'02_收支口径脉冲'!E24</x:f>
        <x:v>5.116093895688619</x:v>
      </x:c>
      <x:c r="C24" s="161" t="str">
        <x:f>IF(OR($A24&lt;DATE(2022,2,1),D24="",I24=""),"",D24/I24*100)</x:f>
      </x:c>
      <x:c r="D24" s="162" t="n">
        <x:f>IF(OR(E24="",F24=""),"",E24-F24)</x:f>
        <x:v>52077.31</x:v>
      </x:c>
      <x:c r="E24" s="162" t="n">
        <x:f>IF(YEAR($A24)&lt;=2020,"",J24+INDEX($J:$J,ROW()-MONTH($A24))-INDEX($J:$J,ROW()-12))</x:f>
        <x:v>62263</x:v>
      </x:c>
      <x:c r="F24" s="162" t="n">
        <x:f>IF(OR(G24="",H24=""),"",G24-H24)</x:f>
        <x:v>10185.690000000002</x:v>
      </x:c>
      <x:c r="G24" s="162" t="n">
        <x:f>IF(YEAR($A24)&lt;=2020,"",K24+INDEX($K:$K,ROW()-MONTH($A24))-INDEX($K:$K,ROW()-12))</x:f>
        <x:v>30841.690000000002</x:v>
      </x:c>
      <x:c r="H24" s="162" t="n">
        <x:f>IF(YEAR($A24)&lt;=2020,"",L24+INDEX($L:$L,ROW()-MONTH($A24))-INDEX($L:$L,ROW()-12))</x:f>
        <x:v>20656</x:v>
      </x:c>
      <x:c r="I24" s="163" t="n">
        <x:f>'02_收支口径脉冲'!I24</x:f>
        <x:v>1133481.9333333333</x:v>
      </x:c>
      <x:c r="J24" s="163" t="n">
        <x:f>IFERROR(INDEX(Sheet4!$B$5:$B$500,MATCH($A24,Sheet4!$A$5:$A$500,0)),"")</x:f>
        <x:v>36090</x:v>
      </x:c>
      <x:c r="K24" s="163" t="n">
        <x:f>IFERROR(INDEX(Sheet4!$G$5:$G$500,MATCH($A24,Sheet4!$A$5:$A$500,0)),"")</x:f>
        <x:v>24013</x:v>
      </x:c>
      <x:c r="L24" s="163" t="n">
        <x:f>IFERROR(INDEX(Sheet1!$L$5:$L$500,MATCH($A24,Sheet1!$A$5:$A$500,0)),"")</x:f>
        <x:v>20656</x:v>
      </x:c>
    </x:row>
    <x:row r="25">
      <x:c r="A25" s="107" t="n">
        <x:v>44469</x:v>
      </x:c>
      <x:c r="B25" s="164" t="n">
        <x:f>'02_收支口径脉冲'!E25</x:f>
        <x:v>4.868342473634588</x:v>
      </x:c>
      <x:c r="C25" s="161" t="str">
        <x:f>IF(OR($A25&lt;DATE(2022,2,1),D25="",I25=""),"",D25/I25*100)</x:f>
      </x:c>
      <x:c r="D25" s="162" t="n">
        <x:f>IF(OR(E25="",F25=""),"",E25-F25)</x:f>
        <x:v>52549.52</x:v>
      </x:c>
      <x:c r="E25" s="162" t="n">
        <x:f>IF(YEAR($A25)&lt;=2020,"",J25+INDEX($J:$J,ROW()-MONTH($A25))-INDEX($J:$J,ROW()-12))</x:f>
        <x:v>60212</x:v>
      </x:c>
      <x:c r="F25" s="162" t="n">
        <x:f>IF(OR(G25="",H25=""),"",G25-H25)</x:f>
        <x:v>7662.480000000003</x:v>
      </x:c>
      <x:c r="G25" s="162" t="n">
        <x:f>IF(YEAR($A25)&lt;=2020,"",K25+INDEX($K:$K,ROW()-MONTH($A25))-INDEX($K:$K,ROW()-12))</x:f>
        <x:v>30844.480000000003</x:v>
      </x:c>
      <x:c r="H25" s="162" t="n">
        <x:f>IF(YEAR($A25)&lt;=2020,"",L25+INDEX($L:$L,ROW()-MONTH($A25))-INDEX($L:$L,ROW()-12))</x:f>
        <x:v>23182</x:v>
      </x:c>
      <x:c r="I25" s="163" t="n">
        <x:f>'02_收支口径脉冲'!I25</x:f>
        <x:v>1142832.5</x:v>
      </x:c>
      <x:c r="J25" s="163" t="n">
        <x:f>IFERROR(INDEX(Sheet4!$B$5:$B$500,MATCH($A25,Sheet4!$A$5:$A$500,0)),"")</x:f>
        <x:v>44155</x:v>
      </x:c>
      <x:c r="K25" s="163" t="n">
        <x:f>IFERROR(INDEX(Sheet4!$G$5:$G$500,MATCH($A25,Sheet4!$A$5:$A$500,0)),"")</x:f>
        <x:v>25675</x:v>
      </x:c>
      <x:c r="L25" s="163" t="n">
        <x:f>IFERROR(INDEX(Sheet1!$L$5:$L$500,MATCH($A25,Sheet1!$A$5:$A$500,0)),"")</x:f>
        <x:v>23182</x:v>
      </x:c>
    </x:row>
    <x:row r="26">
      <x:c r="A26" s="107" t="n">
        <x:v>44500</x:v>
      </x:c>
      <x:c r="B26" s="164" t="n">
        <x:f>'02_收支口径脉冲'!E26</x:f>
        <x:v>4.895579923965628</x:v>
      </x:c>
      <x:c r="C26" s="161" t="str">
        <x:f>IF(OR($A26&lt;DATE(2022,2,1),D26="",I26=""),"",D26/I26*100)</x:f>
      </x:c>
      <x:c r="D26" s="162" t="n">
        <x:f>IF(OR(E26="",F26=""),"",E26-F26)</x:f>
        <x:v>55494.53</x:v>
      </x:c>
      <x:c r="E26" s="162" t="n">
        <x:f>IF(YEAR($A26)&lt;=2020,"",J26+INDEX($J:$J,ROW()-MONTH($A26))-INDEX($J:$J,ROW()-12))</x:f>
        <x:v>61448</x:v>
      </x:c>
      <x:c r="F26" s="162" t="n">
        <x:f>IF(OR(G26="",H26=""),"",G26-H26)</x:f>
        <x:v>5953.470000000005</x:v>
      </x:c>
      <x:c r="G26" s="162" t="n">
        <x:f>IF(YEAR($A26)&lt;=2020,"",K26+INDEX($K:$K,ROW()-MONTH($A26))-INDEX($K:$K,ROW()-12))</x:f>
        <x:v>30930.470000000005</x:v>
      </x:c>
      <x:c r="H26" s="162" t="n">
        <x:f>IF(YEAR($A26)&lt;=2020,"",L26+INDEX($L:$L,ROW()-MONTH($A26))-INDEX($L:$L,ROW()-12))</x:f>
        <x:v>24977</x:v>
      </x:c>
      <x:c r="I26" s="163" t="n">
        <x:f>'02_收支口径脉冲'!I26</x:f>
        <x:v>1153162.6666666665</x:v>
      </x:c>
      <x:c r="J26" s="163" t="n">
        <x:f>IFERROR(INDEX(Sheet4!$B$5:$B$500,MATCH($A26,Sheet4!$A$5:$A$500,0)),"")</x:f>
        <x:v>50322</x:v>
      </x:c>
      <x:c r="K26" s="163" t="n">
        <x:f>IFERROR(INDEX(Sheet4!$G$5:$G$500,MATCH($A26,Sheet4!$A$5:$A$500,0)),"")</x:f>
        <x:v>28291</x:v>
      </x:c>
      <x:c r="L26" s="163" t="n">
        <x:f>IFERROR(INDEX(Sheet1!$L$5:$L$500,MATCH($A26,Sheet1!$A$5:$A$500,0)),"")</x:f>
        <x:v>24977</x:v>
      </x:c>
    </x:row>
    <x:row r="27">
      <x:c r="A27" s="107" t="n">
        <x:v>44530</x:v>
      </x:c>
      <x:c r="B27" s="164" t="n">
        <x:f>'02_收支口径脉冲'!E27</x:f>
        <x:v>5.416535297381148</x:v>
      </x:c>
      <x:c r="C27" s="161" t="str">
        <x:f>IF(OR($A27&lt;DATE(2022,2,1),D27="",I27=""),"",D27/I27*100)</x:f>
      </x:c>
      <x:c r="D27" s="162" t="n">
        <x:f>IF(OR(E27="",F27=""),"",E27-F27)</x:f>
        <x:v>61572.17999999999</x:v>
      </x:c>
      <x:c r="E27" s="162" t="n">
        <x:f>IF(YEAR($A27)&lt;=2020,"",J27+INDEX($J:$J,ROW()-MONTH($A27))-INDEX($J:$J,ROW()-12))</x:f>
        <x:v>65606</x:v>
      </x:c>
      <x:c r="F27" s="162" t="n">
        <x:f>IF(OR(G27="",H27=""),"",G27-H27)</x:f>
        <x:v>4033.8200000000033</x:v>
      </x:c>
      <x:c r="G27" s="162" t="n">
        <x:f>IF(YEAR($A27)&lt;=2020,"",K27+INDEX($K:$K,ROW()-MONTH($A27))-INDEX($K:$K,ROW()-12))</x:f>
        <x:v>30401.820000000003</x:v>
      </x:c>
      <x:c r="H27" s="162" t="n">
        <x:f>IF(YEAR($A27)&lt;=2020,"",L27+INDEX($L:$L,ROW()-MONTH($A27))-INDEX($L:$L,ROW()-12))</x:f>
        <x:v>26368</x:v>
      </x:c>
      <x:c r="I27" s="163" t="n">
        <x:f>'02_收支口径脉冲'!I27</x:f>
        <x:v>1163492.8333333333</x:v>
      </x:c>
      <x:c r="J27" s="163" t="n">
        <x:f>IFERROR(INDEX(Sheet4!$B$5:$B$500,MATCH($A27,Sheet4!$A$5:$A$500,0)),"")</x:f>
        <x:v>58480</x:v>
      </x:c>
      <x:c r="K27" s="163" t="n">
        <x:f>IFERROR(INDEX(Sheet4!$G$5:$G$500,MATCH($A27,Sheet4!$A$5:$A$500,0)),"")</x:f>
        <x:v>29146</x:v>
      </x:c>
      <x:c r="L27" s="163" t="n">
        <x:f>IFERROR(INDEX(Sheet1!$L$5:$L$500,MATCH($A27,Sheet1!$A$5:$A$500,0)),"")</x:f>
        <x:v>26368</x:v>
      </x:c>
    </x:row>
    <x:row r="28">
      <x:c r="A28" s="107" t="n">
        <x:v>44561</x:v>
      </x:c>
      <x:c r="B28" s="164" t="n">
        <x:f>'02_收支口径脉冲'!E28</x:f>
        <x:v>5.062091984907435</x:v>
      </x:c>
      <x:c r="C28" s="161" t="str">
        <x:f>IF(OR($A28&lt;DATE(2022,2,1),D28="",I28=""),"",D28/I28*100)</x:f>
      </x:c>
      <x:c r="D28" s="162" t="n">
        <x:f>IF(OR(E28="",F28=""),"",E28-F28)</x:f>
        <x:v>65650</x:v>
      </x:c>
      <x:c r="E28" s="162" t="n">
        <x:f>IF(YEAR($A28)&lt;=2020,"",J28+INDEX($J:$J,ROW()-MONTH($A28))-INDEX($J:$J,ROW()-12))</x:f>
        <x:v>70154</x:v>
      </x:c>
      <x:c r="F28" s="162" t="n">
        <x:f>IF(OR(G28="",H28=""),"",G28-H28)</x:f>
        <x:v>4504.000000000004</x:v>
      </x:c>
      <x:c r="G28" s="162" t="n">
        <x:f>IF(YEAR($A28)&lt;=2020,"",K28+INDEX($K:$K,ROW()-MONTH($A28))-INDEX($K:$K,ROW()-12))</x:f>
        <x:v>31189.000000000004</x:v>
      </x:c>
      <x:c r="H28" s="162" t="n">
        <x:f>IF(YEAR($A28)&lt;=2020,"",L28+INDEX($L:$L,ROW()-MONTH($A28))-INDEX($L:$L,ROW()-12))</x:f>
        <x:v>26685</x:v>
      </x:c>
      <x:c r="I28" s="163" t="n">
        <x:f>'02_收支口径脉冲'!I28</x:f>
        <x:v>1173823</x:v>
      </x:c>
      <x:c r="J28" s="163" t="n">
        <x:f>IFERROR(INDEX(Sheet4!$B$5:$B$500,MATCH($A28,Sheet4!$A$5:$A$500,0)),"")</x:f>
        <x:v>70154</x:v>
      </x:c>
      <x:c r="K28" s="163" t="n">
        <x:f>IFERROR(INDEX(Sheet4!$G$5:$G$500,MATCH($A28,Sheet4!$A$5:$A$500,0)),"")</x:f>
        <x:v>31189</x:v>
      </x:c>
      <x:c r="L28" s="163" t="n">
        <x:f>IFERROR(INDEX(Sheet1!$L$5:$L$500,MATCH($A28,Sheet1!$A$5:$A$500,0)),"")</x:f>
        <x:v>26685</x:v>
      </x:c>
    </x:row>
    <x:row r="29">
      <x:c r="A29" s="107" t="n">
        <x:v>44592</x:v>
      </x:c>
      <x:c r="B29" s="164" t="str">
        <x:f>'02_收支口径脉冲'!E29</x:f>
      </x:c>
      <x:c r="C29" s="161" t="str">
        <x:f>IF(OR($A29&lt;DATE(2022,2,1),D29="",I29=""),"",D29/I29*100)</x:f>
      </x:c>
      <x:c r="D29" s="162" t="n">
        <x:f>IF(OR(E29="",F29=""),"",E29-F29)</x:f>
        <x:v>71998.36</x:v>
      </x:c>
      <x:c r="E29" s="162" t="n">
        <x:f>IF(YEAR($A29)&lt;=2020,"",J29+INDEX($J:$J,ROW()-MONTH($A29))-INDEX($J:$J,ROW()-12))</x:f>
        <x:v>73743</x:v>
      </x:c>
      <x:c r="F29" s="162" t="n">
        <x:f>IF(OR(G29="",H29=""),"",G29-H29)</x:f>
        <x:v>1744.6399999999994</x:v>
      </x:c>
      <x:c r="G29" s="162" t="n">
        <x:f>IF(YEAR($A29)&lt;=2020,"",K29+INDEX($K:$K,ROW()-MONTH($A29))-INDEX($K:$K,ROW()-12))</x:f>
        <x:v>28717.64</x:v>
      </x:c>
      <x:c r="H29" s="162" t="n">
        <x:f>IF(YEAR($A29)&lt;=2020,"",L29+INDEX($L:$L,ROW()-MONTH($A29))-INDEX($L:$L,ROW()-12))</x:f>
        <x:v>26973</x:v>
      </x:c>
      <x:c r="I29" s="163" t="n">
        <x:f>'02_收支口径脉冲'!I29</x:f>
        <x:v>1181196.5333333334</x:v>
      </x:c>
      <x:c r="J29" s="163" t="n">
        <x:f>IFERROR(INDEX(Sheet4!$B$5:$B$500,MATCH($A29,Sheet4!$A$5:$A$500,0)),"")</x:f>
        <x:v>6026</x:v>
      </x:c>
      <x:c r="K29" s="163" t="n">
        <x:f>IFERROR(INDEX(Sheet4!$G$5:$G$500,MATCH($A29,Sheet4!$A$5:$A$500,0)),"")</x:f>
        <x:v>1152</x:v>
      </x:c>
      <x:c r="L29" s="163" t="n">
        <x:f>IFERROR(INDEX(Sheet1!$L$5:$L$500,MATCH($A29,Sheet1!$A$5:$A$500,0)),"")</x:f>
        <x:v>288</x:v>
      </x:c>
    </x:row>
    <x:row r="30">
      <x:c r="A30" s="107" t="n">
        <x:v>44620</x:v>
      </x:c>
      <x:c r="B30" s="164" t="n">
        <x:f>'02_收支口径脉冲'!E30</x:f>
        <x:v>5.385210497476771</x:v>
      </x:c>
      <x:c r="C30" s="161" t="n">
        <x:f>IF(OR($A30&lt;DATE(2022,2,1),D30="",I30=""),"",D30/I30*100)</x:f>
        <x:v>6.192870081018518</x:v>
      </x:c>
      <x:c r="D30" s="162" t="n">
        <x:f>IF(OR(E30="",F30=""),"",E30-F30)</x:f>
        <x:v>73606.6</x:v>
      </x:c>
      <x:c r="E30" s="162" t="n">
        <x:f>IF(YEAR($A30)&lt;=2020,"",J30+INDEX($J:$J,ROW()-MONTH($A30))-INDEX($J:$J,ROW()-12))</x:f>
        <x:v>75448</x:v>
      </x:c>
      <x:c r="F30" s="162" t="n">
        <x:f>IF(OR(G30="",H30=""),"",G30-H30)</x:f>
        <x:v>1841.4000000000015</x:v>
      </x:c>
      <x:c r="G30" s="162" t="n">
        <x:f>IF(YEAR($A30)&lt;=2020,"",K30+INDEX($K:$K,ROW()-MONTH($A30))-INDEX($K:$K,ROW()-12))</x:f>
        <x:v>28292.4</x:v>
      </x:c>
      <x:c r="H30" s="162" t="n">
        <x:f>IF(YEAR($A30)&lt;=2020,"",L30+INDEX($L:$L,ROW()-MONTH($A30))-INDEX($L:$L,ROW()-12))</x:f>
        <x:v>26451</x:v>
      </x:c>
      <x:c r="I30" s="163" t="n">
        <x:f>'02_收支口径脉冲'!I30</x:f>
        <x:v>1188570.066666667</x:v>
      </x:c>
      <x:c r="J30" s="163" t="n">
        <x:f>IFERROR(INDEX(Sheet4!$B$5:$B$500,MATCH($A30,Sheet4!$A$5:$A$500,0)),"")</x:f>
        <x:v>8748</x:v>
      </x:c>
      <x:c r="K30" s="163" t="n">
        <x:f>IFERROR(INDEX(Sheet4!$G$5:$G$500,MATCH($A30,Sheet4!$A$5:$A$500,0)),"")</x:f>
        <x:v>1284</x:v>
      </x:c>
      <x:c r="L30" s="163" t="n">
        <x:f>IFERROR(INDEX(Sheet1!$L$5:$L$500,MATCH($A30,Sheet1!$A$5:$A$500,0)),"")</x:f>
        <x:v>396</x:v>
      </x:c>
    </x:row>
    <x:row r="31">
      <x:c r="A31" s="107" t="n">
        <x:v>44651</x:v>
      </x:c>
      <x:c r="B31" s="164" t="n">
        <x:f>'02_收支口径脉冲'!E31</x:f>
        <x:v>5.98698801515389</x:v>
      </x:c>
      <x:c r="C31" s="161" t="n">
        <x:f>IF(OR($A31&lt;DATE(2022,2,1),D31="",I31=""),"",D31/I31*100)</x:f>
        <x:v>6.602911712962963</x:v>
      </x:c>
      <x:c r="D31" s="162" t="n">
        <x:f>IF(OR(E31="",F31=""),"",E31-F31)</x:f>
        <x:v>78967.1</x:v>
      </x:c>
      <x:c r="E31" s="162" t="n">
        <x:f>IF(YEAR($A31)&lt;=2020,"",J31+INDEX($J:$J,ROW()-MONTH($A31))-INDEX($J:$J,ROW()-12))</x:f>
        <x:v>79392</x:v>
      </x:c>
      <x:c r="F31" s="162" t="n">
        <x:f>IF(OR(G31="",H31=""),"",G31-H31)</x:f>
        <x:v>424.90000000000146</x:v>
      </x:c>
      <x:c r="G31" s="162" t="n">
        <x:f>IF(YEAR($A31)&lt;=2020,"",K31+INDEX($K:$K,ROW()-MONTH($A31))-INDEX($K:$K,ROW()-12))</x:f>
        <x:v>25146.9</x:v>
      </x:c>
      <x:c r="H31" s="162" t="n">
        <x:f>IF(YEAR($A31)&lt;=2020,"",L31+INDEX($L:$L,ROW()-MONTH($A31))-INDEX($L:$L,ROW()-12))</x:f>
        <x:v>24722</x:v>
      </x:c>
      <x:c r="I31" s="163" t="n">
        <x:f>'02_收支口径脉冲'!I31</x:f>
        <x:v>1195943.6000000003</x:v>
      </x:c>
      <x:c r="J31" s="163" t="n">
        <x:f>IFERROR(INDEX(Sheet4!$B$5:$B$500,MATCH($A31,Sheet4!$A$5:$A$500,0)),"")</x:f>
        <x:v>15822</x:v>
      </x:c>
      <x:c r="K31" s="163" t="n">
        <x:f>IFERROR(INDEX(Sheet4!$G$5:$G$500,MATCH($A31,Sheet4!$A$5:$A$500,0)),"")</x:f>
        <x:v>2545</x:v>
      </x:c>
      <x:c r="L31" s="163" t="n">
        <x:f>IFERROR(INDEX(Sheet1!$L$5:$L$500,MATCH($A31,Sheet1!$A$5:$A$500,0)),"")</x:f>
        <x:v>1550</x:v>
      </x:c>
    </x:row>
    <x:row r="32">
      <x:c r="A32" s="107" t="n">
        <x:v>44681</x:v>
      </x:c>
      <x:c r="B32" s="164" t="n">
        <x:f>'02_收支口径脉冲'!E32</x:f>
        <x:v>6.883899420919319</x:v>
      </x:c>
      <x:c r="C32" s="161" t="n">
        <x:f>IF(OR($A32&lt;DATE(2022,2,1),D32="",I32=""),"",D32/I32*100)</x:f>
        <x:v>6.624337164351852</x:v>
      </x:c>
      <x:c r="D32" s="162" t="n">
        <x:f>IF(OR(E32="",F32=""),"",E32-F32)</x:f>
        <x:v>79469.15</x:v>
      </x:c>
      <x:c r="E32" s="162" t="n">
        <x:f>IF(YEAR($A32)&lt;=2020,"",J32+INDEX($J:$J,ROW()-MONTH($A32))-INDEX($J:$J,ROW()-12))</x:f>
        <x:v>79565</x:v>
      </x:c>
      <x:c r="F32" s="162" t="n">
        <x:f>IF(OR(G32="",H32=""),"",G32-H32)</x:f>
        <x:v>95.84999999999854</x:v>
      </x:c>
      <x:c r="G32" s="162" t="n">
        <x:f>IF(YEAR($A32)&lt;=2020,"",K32+INDEX($K:$K,ROW()-MONTH($A32))-INDEX($K:$K,ROW()-12))</x:f>
        <x:v>22421.85</x:v>
      </x:c>
      <x:c r="H32" s="162" t="n">
        <x:f>IF(YEAR($A32)&lt;=2020,"",L32+INDEX($L:$L,ROW()-MONTH($A32))-INDEX($L:$L,ROW()-12))</x:f>
        <x:v>22326</x:v>
      </x:c>
      <x:c r="I32" s="163" t="n">
        <x:f>'02_收支口径脉冲'!I32</x:f>
        <x:v>1199654.3666666667</x:v>
      </x:c>
      <x:c r="J32" s="163" t="n">
        <x:f>IFERROR(INDEX(Sheet4!$B$5:$B$500,MATCH($A32,Sheet4!$A$5:$A$500,0)),"")</x:f>
        <x:v>19734</x:v>
      </x:c>
      <x:c r="K32" s="163" t="n">
        <x:f>IFERROR(INDEX(Sheet4!$G$5:$G$500,MATCH($A32,Sheet4!$A$5:$A$500,0)),"")</x:f>
        <x:v>4179</x:v>
      </x:c>
      <x:c r="L32" s="163" t="n">
        <x:f>IFERROR(INDEX(Sheet1!$L$5:$L$500,MATCH($A32,Sheet1!$A$5:$A$500,0)),"")</x:f>
        <x:v>2918</x:v>
      </x:c>
    </x:row>
    <x:row r="33">
      <x:c r="A33" s="107" t="n">
        <x:v>44712</x:v>
      </x:c>
      <x:c r="B33" s="164" t="n">
        <x:f>'02_收支口径脉冲'!E33</x:f>
        <x:v>7.65453455883742</x:v>
      </x:c>
      <x:c r="C33" s="161" t="n">
        <x:f>IF(OR($A33&lt;DATE(2022,2,1),D33="",I33=""),"",D33/I33*100)</x:f>
        <x:v>6.765943090277778</x:v>
      </x:c>
      <x:c r="D33" s="162" t="n">
        <x:f>IF(OR(E33="",F33=""),"",E33-F33)</x:f>
        <x:v>81419</x:v>
      </x:c>
      <x:c r="E33" s="162" t="n">
        <x:f>IF(YEAR($A33)&lt;=2020,"",J33+INDEX($J:$J,ROW()-MONTH($A33))-INDEX($J:$J,ROW()-12))</x:f>
        <x:v>83446</x:v>
      </x:c>
      <x:c r="F33" s="162" t="n">
        <x:f>IF(OR(G33="",H33=""),"",G33-H33)</x:f>
        <x:v>2027</x:v>
      </x:c>
      <x:c r="G33" s="162" t="n">
        <x:f>IF(YEAR($A33)&lt;=2020,"",K33+INDEX($K:$K,ROW()-MONTH($A33))-INDEX($K:$K,ROW()-12))</x:f>
        <x:v>23911</x:v>
      </x:c>
      <x:c r="H33" s="162" t="n">
        <x:f>IF(YEAR($A33)&lt;=2020,"",L33+INDEX($L:$L,ROW()-MONTH($A33))-INDEX($L:$L,ROW()-12))</x:f>
        <x:v>21884</x:v>
      </x:c>
      <x:c r="I33" s="163" t="n">
        <x:f>'02_收支口径脉冲'!I33</x:f>
        <x:v>1203365.1333333333</x:v>
      </x:c>
      <x:c r="J33" s="163" t="n">
        <x:f>IFERROR(INDEX(Sheet4!$B$5:$B$500,MATCH($A33,Sheet4!$A$5:$A$500,0)),"")</x:f>
        <x:v>30316</x:v>
      </x:c>
      <x:c r="K33" s="163" t="n">
        <x:f>IFERROR(INDEX(Sheet4!$G$5:$G$500,MATCH($A33,Sheet4!$A$5:$A$500,0)),"")</x:f>
        <x:v>8720</x:v>
      </x:c>
      <x:c r="L33" s="163" t="n">
        <x:f>IFERROR(INDEX(Sheet1!$L$5:$L$500,MATCH($A33,Sheet1!$A$5:$A$500,0)),"")</x:f>
        <x:v>5356</x:v>
      </x:c>
    </x:row>
    <x:row r="34">
      <x:c r="A34" s="107" t="n">
        <x:v>44742</x:v>
      </x:c>
      <x:c r="B34" s="164" t="n">
        <x:f>'02_收支口径脉冲'!E34</x:f>
        <x:v>8.51338345832271</x:v>
      </x:c>
      <x:c r="C34" s="161" t="n">
        <x:f>IF(OR($A34&lt;DATE(2022,2,1),D34="",I34=""),"",D34/I34*100)</x:f>
        <x:v>7.413866851851852</x:v>
      </x:c>
      <x:c r="D34" s="162" t="n">
        <x:f>IF(OR(E34="",F34=""),"",E34-F34)</x:f>
        <x:v>89491</x:v>
      </x:c>
      <x:c r="E34" s="162" t="n">
        <x:f>IF(YEAR($A34)&lt;=2020,"",J34+INDEX($J:$J,ROW()-MONTH($A34))-INDEX($J:$J,ROW()-12))</x:f>
        <x:v>92154</x:v>
      </x:c>
      <x:c r="F34" s="162" t="n">
        <x:f>IF(OR(G34="",H34=""),"",G34-H34)</x:f>
        <x:v>2663</x:v>
      </x:c>
      <x:c r="G34" s="162" t="n">
        <x:f>IF(YEAR($A34)&lt;=2020,"",K34+INDEX($K:$K,ROW()-MONTH($A34))-INDEX($K:$K,ROW()-12))</x:f>
        <x:v>24870</x:v>
      </x:c>
      <x:c r="H34" s="162" t="n">
        <x:f>IF(YEAR($A34)&lt;=2020,"",L34+INDEX($L:$L,ROW()-MONTH($A34))-INDEX($L:$L,ROW()-12))</x:f>
        <x:v>22207</x:v>
      </x:c>
      <x:c r="I34" s="163" t="n">
        <x:f>'02_收支口径脉冲'!I34</x:f>
        <x:v>1207075.9000000001</x:v>
      </x:c>
      <x:c r="J34" s="163" t="n">
        <x:f>IFERROR(INDEX(Sheet4!$B$5:$B$500,MATCH($A34,Sheet4!$A$5:$A$500,0)),"")</x:f>
        <x:v>46532</x:v>
      </x:c>
      <x:c r="K34" s="163" t="n">
        <x:f>IFERROR(INDEX(Sheet4!$G$5:$G$500,MATCH($A34,Sheet4!$A$5:$A$500,0)),"")</x:f>
        <x:v>12292</x:v>
      </x:c>
      <x:c r="L34" s="163" t="n">
        <x:f>IFERROR(INDEX(Sheet1!$L$5:$L$500,MATCH($A34,Sheet1!$A$5:$A$500,0)),"")</x:f>
        <x:v>9699</x:v>
      </x:c>
    </x:row>
    <x:row r="35">
      <x:c r="A35" s="107" t="n">
        <x:v>44773</x:v>
      </x:c>
      <x:c r="B35" s="164" t="n">
        <x:f>'02_收支口径脉冲'!E35</x:f>
        <x:v>9.008000570758718</x:v>
      </x:c>
      <x:c r="C35" s="161" t="n">
        <x:f>IF(OR($A35&lt;DATE(2022,2,1),D35="",I35=""),"",D35/I35*100)</x:f>
        <x:v>7.733110057870371</x:v>
      </x:c>
      <x:c r="D35" s="162" t="n">
        <x:f>IF(OR(E35="",F35=""),"",E35-F35)</x:f>
        <x:v>93794</x:v>
      </x:c>
      <x:c r="E35" s="162" t="n">
        <x:f>IF(YEAR($A35)&lt;=2020,"",J35+INDEX($J:$J,ROW()-MONTH($A35))-INDEX($J:$J,ROW()-12))</x:f>
        <x:v>94332</x:v>
      </x:c>
      <x:c r="F35" s="162" t="n">
        <x:f>IF(OR(G35="",H35=""),"",G35-H35)</x:f>
        <x:v>538</x:v>
      </x:c>
      <x:c r="G35" s="162" t="n">
        <x:f>IF(YEAR($A35)&lt;=2020,"",K35+INDEX($K:$K,ROW()-MONTH($A35))-INDEX($K:$K,ROW()-12))</x:f>
        <x:v>25150</x:v>
      </x:c>
      <x:c r="H35" s="162" t="n">
        <x:f>IF(YEAR($A35)&lt;=2020,"",L35+INDEX($L:$L,ROW()-MONTH($A35))-INDEX($L:$L,ROW()-12))</x:f>
        <x:v>24612</x:v>
      </x:c>
      <x:c r="I35" s="163" t="n">
        <x:f>'02_收支口径脉冲'!I35</x:f>
        <x:v>1212888.4666666668</x:v>
      </x:c>
      <x:c r="J35" s="163" t="n">
        <x:f>IFERROR(INDEX(Sheet4!$B$5:$B$500,MATCH($A35,Sheet4!$A$5:$A$500,0)),"")</x:f>
        <x:v>50530</x:v>
      </x:c>
      <x:c r="K35" s="163" t="n">
        <x:f>IFERROR(INDEX(Sheet4!$G$5:$G$500,MATCH($A35,Sheet4!$A$5:$A$500,0)),"")</x:f>
        <x:v>15107</x:v>
      </x:c>
      <x:c r="L35" s="163" t="n">
        <x:f>IFERROR(INDEX(Sheet1!$L$5:$L$500,MATCH($A35,Sheet1!$A$5:$A$500,0)),"")</x:f>
        <x:v>14619</x:v>
      </x:c>
    </x:row>
    <x:row r="36">
      <x:c r="A36" s="107" t="n">
        <x:v>44804</x:v>
      </x:c>
      <x:c r="B36" s="164" t="n">
        <x:f>'02_收支口径脉冲'!E36</x:f>
        <x:v>8.92852283077028</x:v>
      </x:c>
      <x:c r="C36" s="161" t="n">
        <x:f>IF(OR($A36&lt;DATE(2022,2,1),D36="",I36=""),"",D36/I36*100)</x:f>
        <x:v>7.011974039351852</x:v>
      </x:c>
      <x:c r="D36" s="162" t="n">
        <x:f>IF(OR(E36="",F36=""),"",E36-F36)</x:f>
        <x:v>85455</x:v>
      </x:c>
      <x:c r="E36" s="162" t="n">
        <x:f>IF(YEAR($A36)&lt;=2020,"",J36+INDEX($J:$J,ROW()-MONTH($A36))-INDEX($J:$J,ROW()-12))</x:f>
        <x:v>87639</x:v>
      </x:c>
      <x:c r="F36" s="162" t="n">
        <x:f>IF(OR(G36="",H36=""),"",G36-H36)</x:f>
        <x:v>2184</x:v>
      </x:c>
      <x:c r="G36" s="162" t="n">
        <x:f>IF(YEAR($A36)&lt;=2020,"",K36+INDEX($K:$K,ROW()-MONTH($A36))-INDEX($K:$K,ROW()-12))</x:f>
        <x:v>25550</x:v>
      </x:c>
      <x:c r="H36" s="162" t="n">
        <x:f>IF(YEAR($A36)&lt;=2020,"",L36+INDEX($L:$L,ROW()-MONTH($A36))-INDEX($L:$L,ROW()-12))</x:f>
        <x:v>23366</x:v>
      </x:c>
      <x:c r="I36" s="163" t="n">
        <x:f>'02_收支口径脉冲'!I36</x:f>
        <x:v>1218701.0333333334</x:v>
      </x:c>
      <x:c r="J36" s="163" t="n">
        <x:f>IFERROR(INDEX(Sheet4!$B$5:$B$500,MATCH($A36,Sheet4!$A$5:$A$500,0)),"")</x:f>
        <x:v>53575</x:v>
      </x:c>
      <x:c r="K36" s="163" t="n">
        <x:f>IFERROR(INDEX(Sheet4!$G$5:$G$500,MATCH($A36,Sheet4!$A$5:$A$500,0)),"")</x:f>
        <x:v>18374</x:v>
      </x:c>
      <x:c r="L36" s="163" t="n">
        <x:f>IFERROR(INDEX(Sheet1!$L$5:$L$500,MATCH($A36,Sheet1!$A$5:$A$500,0)),"")</x:f>
        <x:v>17337</x:v>
      </x:c>
    </x:row>
    <x:row r="37">
      <x:c r="A37" s="107" t="n">
        <x:v>44834</x:v>
      </x:c>
      <x:c r="B37" s="164" t="n">
        <x:f>'02_收支口径脉冲'!E37</x:f>
        <x:v>8.609622628936092</x:v>
      </x:c>
      <x:c r="C37" s="161" t="n">
        <x:f>IF(OR($A37&lt;DATE(2022,2,1),D37="",I37=""),"",D37/I37*100)</x:f>
        <x:v>6.7860414236111115</x:v>
      </x:c>
      <x:c r="D37" s="162" t="n">
        <x:f>IF(OR(E37="",F37=""),"",E37-F37)</x:f>
        <x:v>83096</x:v>
      </x:c>
      <x:c r="E37" s="162" t="n">
        <x:f>IF(YEAR($A37)&lt;=2020,"",J37+INDEX($J:$J,ROW()-MONTH($A37))-INDEX($J:$J,ROW()-12))</x:f>
        <x:v>85108</x:v>
      </x:c>
      <x:c r="F37" s="162" t="n">
        <x:f>IF(OR(G37="",H37=""),"",G37-H37)</x:f>
        <x:v>2012</x:v>
      </x:c>
      <x:c r="G37" s="162" t="n">
        <x:f>IF(YEAR($A37)&lt;=2020,"",K37+INDEX($K:$K,ROW()-MONTH($A37))-INDEX($K:$K,ROW()-12))</x:f>
        <x:v>26577</x:v>
      </x:c>
      <x:c r="H37" s="162" t="n">
        <x:f>IF(YEAR($A37)&lt;=2020,"",L37+INDEX($L:$L,ROW()-MONTH($A37))-INDEX($L:$L,ROW()-12))</x:f>
        <x:v>24565</x:v>
      </x:c>
      <x:c r="I37" s="163" t="n">
        <x:f>'02_收支口径脉冲'!I37</x:f>
        <x:v>1224513.6</x:v>
      </x:c>
      <x:c r="J37" s="163" t="n">
        <x:f>IFERROR(INDEX(Sheet4!$B$5:$B$500,MATCH($A37,Sheet4!$A$5:$A$500,0)),"")</x:f>
        <x:v>59109</x:v>
      </x:c>
      <x:c r="K37" s="163" t="n">
        <x:f>IFERROR(INDEX(Sheet4!$G$5:$G$500,MATCH($A37,Sheet4!$A$5:$A$500,0)),"")</x:f>
        <x:v>21063</x:v>
      </x:c>
      <x:c r="L37" s="163" t="n">
        <x:f>IFERROR(INDEX(Sheet1!$L$5:$L$500,MATCH($A37,Sheet1!$A$5:$A$500,0)),"")</x:f>
        <x:v>21062</x:v>
      </x:c>
    </x:row>
    <x:row r="38">
      <x:c r="A38" s="107" t="n">
        <x:v>44865</x:v>
      </x:c>
      <x:c r="B38" s="164" t="n">
        <x:f>'02_收支口径脉冲'!E38</x:f>
        <x:v>8.382032694855482</x:v>
      </x:c>
      <x:c r="C38" s="161" t="n">
        <x:f>IF(OR($A38&lt;DATE(2022,2,1),D38="",I38=""),"",D38/I38*100)</x:f>
        <x:v>6.559578981481481</x:v>
      </x:c>
      <x:c r="D38" s="162" t="n">
        <x:f>IF(OR(E38="",F38=""),"",E38-F38)</x:f>
        <x:v>80531</x:v>
      </x:c>
      <x:c r="E38" s="162" t="n">
        <x:f>IF(YEAR($A38)&lt;=2020,"",J38+INDEX($J:$J,ROW()-MONTH($A38))-INDEX($J:$J,ROW()-12))</x:f>
        <x:v>81732</x:v>
      </x:c>
      <x:c r="F38" s="162" t="n">
        <x:f>IF(OR(G38="",H38=""),"",G38-H38)</x:f>
        <x:v>1201</x:v>
      </x:c>
      <x:c r="G38" s="162" t="n">
        <x:f>IF(YEAR($A38)&lt;=2020,"",K38+INDEX($K:$K,ROW()-MONTH($A38))-INDEX($K:$K,ROW()-12))</x:f>
        <x:v>26213</x:v>
      </x:c>
      <x:c r="H38" s="162" t="n">
        <x:f>IF(YEAR($A38)&lt;=2020,"",L38+INDEX($L:$L,ROW()-MONTH($A38))-INDEX($L:$L,ROW()-12))</x:f>
        <x:v>25012</x:v>
      </x:c>
      <x:c r="I38" s="163" t="n">
        <x:f>'02_收支口径脉冲'!I38</x:f>
        <x:v>1227685.5</x:v>
      </x:c>
      <x:c r="J38" s="163" t="n">
        <x:f>IFERROR(INDEX(Sheet4!$B$5:$B$500,MATCH($A38,Sheet4!$A$5:$A$500,0)),"")</x:f>
        <x:v>61900</x:v>
      </x:c>
      <x:c r="K38" s="163" t="n">
        <x:f>IFERROR(INDEX(Sheet4!$G$5:$G$500,MATCH($A38,Sheet4!$A$5:$A$500,0)),"")</x:f>
        <x:v>23315</x:v>
      </x:c>
      <x:c r="L38" s="163" t="n">
        <x:f>IFERROR(INDEX(Sheet1!$L$5:$L$500,MATCH($A38,Sheet1!$A$5:$A$500,0)),"")</x:f>
        <x:v>23304</x:v>
      </x:c>
    </x:row>
    <x:row r="39">
      <x:c r="A39" s="107" t="n">
        <x:v>44895</x:v>
      </x:c>
      <x:c r="B39" s="164" t="n">
        <x:f>'02_收支口径脉冲'!E39</x:f>
        <x:v>8.11637481319932</x:v>
      </x:c>
      <x:c r="C39" s="161" t="n">
        <x:f>IF(OR($A39&lt;DATE(2022,2,1),D39="",I39=""),"",D39/I39*100)</x:f>
        <x:v>6.513508391203704</x:v>
      </x:c>
      <x:c r="D39" s="162" t="n">
        <x:f>IF(OR(E39="",F39=""),"",E39-F39)</x:f>
        <x:v>80172</x:v>
      </x:c>
      <x:c r="E39" s="162" t="n">
        <x:f>IF(YEAR($A39)&lt;=2020,"",J39+INDEX($J:$J,ROW()-MONTH($A39))-INDEX($J:$J,ROW()-12))</x:f>
        <x:v>80094</x:v>
      </x:c>
      <x:c r="F39" s="162" t="n">
        <x:f>IF(OR(G39="",H39=""),"",G39-H39)</x:f>
        <x:v>-78</x:v>
      </x:c>
      <x:c r="G39" s="162" t="n">
        <x:f>IF(YEAR($A39)&lt;=2020,"",K39+INDEX($K:$K,ROW()-MONTH($A39))-INDEX($K:$K,ROW()-12))</x:f>
        <x:v>27336</x:v>
      </x:c>
      <x:c r="H39" s="162" t="n">
        <x:f>IF(YEAR($A39)&lt;=2020,"",L39+INDEX($L:$L,ROW()-MONTH($A39))-INDEX($L:$L,ROW()-12))</x:f>
        <x:v>27414</x:v>
      </x:c>
      <x:c r="I39" s="163" t="n">
        <x:f>'02_收支口径脉冲'!I39</x:f>
        <x:v>1230857.4</x:v>
      </x:c>
      <x:c r="J39" s="163" t="n">
        <x:f>IFERROR(INDEX(Sheet4!$B$5:$B$500,MATCH($A39,Sheet4!$A$5:$A$500,0)),"")</x:f>
        <x:v>68420</x:v>
      </x:c>
      <x:c r="K39" s="163" t="n">
        <x:f>IFERROR(INDEX(Sheet4!$G$5:$G$500,MATCH($A39,Sheet4!$A$5:$A$500,0)),"")</x:f>
        <x:v>25293</x:v>
      </x:c>
      <x:c r="L39" s="163" t="n">
        <x:f>IFERROR(INDEX(Sheet1!$L$5:$L$500,MATCH($A39,Sheet1!$A$5:$A$500,0)),"")</x:f>
        <x:v>27097</x:v>
      </x:c>
    </x:row>
    <x:row r="40">
      <x:c r="A40" s="107" t="n">
        <x:v>44926</x:v>
      </x:c>
      <x:c r="B40" s="164" t="n">
        <x:f>'02_收支口径脉冲'!E40</x:f>
        <x:v>7.261577986843587</x:v>
      </x:c>
      <x:c r="C40" s="161" t="n">
        <x:f>IF(OR($A40&lt;DATE(2022,2,1),D40="",I40=""),"",D40/I40*100)</x:f>
        <x:v>5.905532395833333</x:v>
      </x:c>
      <x:c r="D40" s="162" t="n">
        <x:f>IF(OR(E40="",F40=""),"",E40-F40)</x:f>
        <x:v>72876</x:v>
      </x:c>
      <x:c r="E40" s="162" t="n">
        <x:f>IF(YEAR($A40)&lt;=2020,"",J40+INDEX($J:$J,ROW()-MONTH($A40))-INDEX($J:$J,ROW()-12))</x:f>
        <x:v>71228</x:v>
      </x:c>
      <x:c r="F40" s="162" t="n">
        <x:f>IF(OR(G40="",H40=""),"",G40-H40)</x:f>
        <x:v>-1648</x:v>
      </x:c>
      <x:c r="G40" s="162" t="n">
        <x:f>IF(YEAR($A40)&lt;=2020,"",K40+INDEX($K:$K,ROW()-MONTH($A40))-INDEX($K:$K,ROW()-12))</x:f>
        <x:v>26110</x:v>
      </x:c>
      <x:c r="H40" s="162" t="n">
        <x:f>IF(YEAR($A40)&lt;=2020,"",L40+INDEX($L:$L,ROW()-MONTH($A40))-INDEX($L:$L,ROW()-12))</x:f>
        <x:v>27758</x:v>
      </x:c>
      <x:c r="I40" s="163" t="n">
        <x:f>'02_收支口径脉冲'!I40</x:f>
        <x:v>1234029.2999999998</x:v>
      </x:c>
      <x:c r="J40" s="163" t="n">
        <x:f>IFERROR(INDEX(Sheet4!$B$5:$B$500,MATCH($A40,Sheet4!$A$5:$A$500,0)),"")</x:f>
        <x:v>71228</x:v>
      </x:c>
      <x:c r="K40" s="163" t="n">
        <x:f>IFERROR(INDEX(Sheet4!$G$5:$G$500,MATCH($A40,Sheet4!$A$5:$A$500,0)),"")</x:f>
        <x:v>26110</x:v>
      </x:c>
      <x:c r="L40" s="163" t="n">
        <x:f>IFERROR(INDEX(Sheet1!$L$5:$L$500,MATCH($A40,Sheet1!$A$5:$A$500,0)),"")</x:f>
        <x:v>27758</x:v>
      </x:c>
    </x:row>
    <x:row r="41">
      <x:c r="A41" s="107" t="n">
        <x:v>44957</x:v>
      </x:c>
      <x:c r="B41" s="164" t="str">
        <x:f>'02_收支口径脉冲'!E41</x:f>
      </x:c>
      <x:c r="C41" s="161" t="n">
        <x:f>IF(OR($A41&lt;DATE(2022,2,1),D41="",I41=""),"",D41/I41*100)</x:f>
        <x:v>5.787456099537037</x:v>
      </x:c>
      <x:c r="D41" s="162" t="n">
        <x:f>IF(OR(E41="",F41=""),"",E41-F41)</x:f>
        <x:v>71712</x:v>
      </x:c>
      <x:c r="E41" s="162" t="n">
        <x:f>IF(YEAR($A41)&lt;=2020,"",J41+INDEX($J:$J,ROW()-MONTH($A41))-INDEX($J:$J,ROW()-12))</x:f>
        <x:v>69342</x:v>
      </x:c>
      <x:c r="F41" s="162" t="n">
        <x:f>IF(OR(G41="",H41=""),"",G41-H41)</x:f>
        <x:v>-2370</x:v>
      </x:c>
      <x:c r="G41" s="162" t="n">
        <x:f>IF(YEAR($A41)&lt;=2020,"",K41+INDEX($K:$K,ROW()-MONTH($A41))-INDEX($K:$K,ROW()-12))</x:f>
        <x:v>25135</x:v>
      </x:c>
      <x:c r="H41" s="162" t="n">
        <x:f>IF(YEAR($A41)&lt;=2020,"",L41+INDEX($L:$L,ROW()-MONTH($A41))-INDEX($L:$L,ROW()-12))</x:f>
        <x:v>27505</x:v>
      </x:c>
      <x:c r="I41" s="163" t="n">
        <x:f>'02_收支口径脉冲'!I41</x:f>
        <x:v>1239093.633333333</x:v>
      </x:c>
      <x:c r="J41" s="163" t="n">
        <x:f>IFERROR(INDEX(Sheet4!$B$5:$B$500,MATCH($A41,Sheet4!$A$5:$A$500,0)),"")</x:f>
        <x:v>4140</x:v>
      </x:c>
      <x:c r="K41" s="163" t="n">
        <x:f>IFERROR(INDEX(Sheet4!$G$5:$G$500,MATCH($A41,Sheet4!$A$5:$A$500,0)),"")</x:f>
        <x:v>177</x:v>
      </x:c>
      <x:c r="L41" s="163" t="n">
        <x:f>IFERROR(INDEX(Sheet1!$L$5:$L$500,MATCH($A41,Sheet1!$A$5:$A$500,0)),"")</x:f>
        <x:v>35</x:v>
      </x:c>
    </x:row>
    <x:row r="42">
      <x:c r="A42" s="107" t="n">
        <x:v>44985</x:v>
      </x:c>
      <x:c r="B42" s="164" t="n">
        <x:f>'02_收支口径脉冲'!E42</x:f>
        <x:v>7.514077995294223</x:v>
      </x:c>
      <x:c r="C42" s="161" t="n">
        <x:f>IF(OR($A42&lt;DATE(2022,2,1),D42="",I42=""),"",D42/I42*100)</x:f>
        <x:v>6.134349664351852</x:v>
      </x:c>
      <x:c r="D42" s="162" t="n">
        <x:f>IF(OR(E42="",F42=""),"",E42-F42)</x:f>
        <x:v>76321</x:v>
      </x:c>
      <x:c r="E42" s="162" t="n">
        <x:f>IF(YEAR($A42)&lt;=2020,"",J42+INDEX($J:$J,ROW()-MONTH($A42))-INDEX($J:$J,ROW()-12))</x:f>
        <x:v>74758</x:v>
      </x:c>
      <x:c r="F42" s="162" t="n">
        <x:f>IF(OR(G42="",H42=""),"",G42-H42)</x:f>
        <x:v>-1563</x:v>
      </x:c>
      <x:c r="G42" s="162" t="n">
        <x:f>IF(YEAR($A42)&lt;=2020,"",K42+INDEX($K:$K,ROW()-MONTH($A42))-INDEX($K:$K,ROW()-12))</x:f>
        <x:v>26345</x:v>
      </x:c>
      <x:c r="H42" s="162" t="n">
        <x:f>IF(YEAR($A42)&lt;=2020,"",L42+INDEX($L:$L,ROW()-MONTH($A42))-INDEX($L:$L,ROW()-12))</x:f>
        <x:v>27908</x:v>
      </x:c>
      <x:c r="I42" s="163" t="n">
        <x:f>'02_收支口径脉冲'!I42</x:f>
        <x:v>1244157.9666666663</x:v>
      </x:c>
      <x:c r="J42" s="163" t="n">
        <x:f>IFERROR(INDEX(Sheet4!$B$5:$B$500,MATCH($A42,Sheet4!$A$5:$A$500,0)),"")</x:f>
        <x:v>12278</x:v>
      </x:c>
      <x:c r="K42" s="163" t="n">
        <x:f>IFERROR(INDEX(Sheet4!$G$5:$G$500,MATCH($A42,Sheet4!$A$5:$A$500,0)),"")</x:f>
        <x:v>1519</x:v>
      </x:c>
      <x:c r="L42" s="163" t="n">
        <x:f>IFERROR(INDEX(Sheet1!$L$5:$L$500,MATCH($A42,Sheet1!$A$5:$A$500,0)),"")</x:f>
        <x:v>546</x:v>
      </x:c>
    </x:row>
    <x:row r="43">
      <x:c r="A43" s="107" t="n">
        <x:v>45016</x:v>
      </x:c>
      <x:c r="B43" s="164" t="n">
        <x:f>'02_收支口径脉冲'!E43</x:f>
        <x:v>7.4390282658258675</x:v>
      </x:c>
      <x:c r="C43" s="161" t="n">
        <x:f>IF(OR($A43&lt;DATE(2022,2,1),D43="",I43=""),"",D43/I43*100)</x:f>
        <x:v>6.048803333333334</x:v>
      </x:c>
      <x:c r="D43" s="162" t="n">
        <x:f>IF(OR(E43="",F43=""),"",E43-F43)</x:f>
        <x:v>75563</x:v>
      </x:c>
      <x:c r="E43" s="162" t="n">
        <x:f>IF(YEAR($A43)&lt;=2020,"",J43+INDEX($J:$J,ROW()-MONTH($A43))-INDEX($J:$J,ROW()-12))</x:f>
        <x:v>73698</x:v>
      </x:c>
      <x:c r="F43" s="162" t="n">
        <x:f>IF(OR(G43="",H43=""),"",G43-H43)</x:f>
        <x:v>-1865</x:v>
      </x:c>
      <x:c r="G43" s="162" t="n">
        <x:f>IF(YEAR($A43)&lt;=2020,"",K43+INDEX($K:$K,ROW()-MONTH($A43))-INDEX($K:$K,ROW()-12))</x:f>
        <x:v>27967</x:v>
      </x:c>
      <x:c r="H43" s="162" t="n">
        <x:f>IF(YEAR($A43)&lt;=2020,"",L43+INDEX($L:$L,ROW()-MONTH($A43))-INDEX($L:$L,ROW()-12))</x:f>
        <x:v>29832</x:v>
      </x:c>
      <x:c r="I43" s="163" t="n">
        <x:f>'02_收支口径脉冲'!I43</x:f>
        <x:v>1249222.2999999998</x:v>
      </x:c>
      <x:c r="J43" s="163" t="n">
        <x:f>IFERROR(INDEX(Sheet4!$B$5:$B$500,MATCH($A43,Sheet4!$A$5:$A$500,0)),"")</x:f>
        <x:v>18292</x:v>
      </x:c>
      <x:c r="K43" s="163" t="n">
        <x:f>IFERROR(INDEX(Sheet4!$G$5:$G$500,MATCH($A43,Sheet4!$A$5:$A$500,0)),"")</x:f>
        <x:v>4402</x:v>
      </x:c>
      <x:c r="L43" s="163" t="n">
        <x:f>IFERROR(INDEX(Sheet1!$L$5:$L$500,MATCH($A43,Sheet1!$A$5:$A$500,0)),"")</x:f>
        <x:v>3624</x:v>
      </x:c>
    </x:row>
    <x:row r="44">
      <x:c r="A44" s="107" t="n">
        <x:v>45046</x:v>
      </x:c>
      <x:c r="B44" s="164" t="n">
        <x:f>'02_收支口径脉冲'!E44</x:f>
        <x:v>6.822765735666364</x:v>
      </x:c>
      <x:c r="C44" s="161" t="n">
        <x:f>IF(OR($A44&lt;DATE(2022,2,1),D44="",I44=""),"",D44/I44*100)</x:f>
        <x:v>6.124081886574074</x:v>
      </x:c>
      <x:c r="D44" s="162" t="n">
        <x:f>IF(OR(E44="",F44=""),"",E44-F44)</x:f>
        <x:v>76853</x:v>
      </x:c>
      <x:c r="E44" s="162" t="n">
        <x:f>IF(YEAR($A44)&lt;=2020,"",J44+INDEX($J:$J,ROW()-MONTH($A44))-INDEX($J:$J,ROW()-12))</x:f>
        <x:v>74334</x:v>
      </x:c>
      <x:c r="F44" s="162" t="n">
        <x:f>IF(OR(G44="",H44=""),"",G44-H44)</x:f>
        <x:v>-2519</x:v>
      </x:c>
      <x:c r="G44" s="162" t="n">
        <x:f>IF(YEAR($A44)&lt;=2020,"",K44+INDEX($K:$K,ROW()-MONTH($A44))-INDEX($K:$K,ROW()-12))</x:f>
        <x:v>30237</x:v>
      </x:c>
      <x:c r="H44" s="162" t="n">
        <x:f>IF(YEAR($A44)&lt;=2020,"",L44+INDEX($L:$L,ROW()-MONTH($A44))-INDEX($L:$L,ROW()-12))</x:f>
        <x:v>32756</x:v>
      </x:c>
      <x:c r="I44" s="163" t="n">
        <x:f>'02_收支口径脉冲'!I44</x:f>
        <x:v>1254930.9666666666</x:v>
      </x:c>
      <x:c r="J44" s="163" t="n">
        <x:f>IFERROR(INDEX(Sheet4!$B$5:$B$500,MATCH($A44,Sheet4!$A$5:$A$500,0)),"")</x:f>
        <x:v>22840</x:v>
      </x:c>
      <x:c r="K44" s="163" t="n">
        <x:f>IFERROR(INDEX(Sheet4!$G$5:$G$500,MATCH($A44,Sheet4!$A$5:$A$500,0)),"")</x:f>
        <x:v>8306</x:v>
      </x:c>
      <x:c r="L44" s="163" t="n">
        <x:f>IFERROR(INDEX(Sheet1!$L$5:$L$500,MATCH($A44,Sheet1!$A$5:$A$500,0)),"")</x:f>
        <x:v>7916</x:v>
      </x:c>
    </x:row>
    <x:row r="45">
      <x:c r="A45" s="107" t="n">
        <x:v>45077</x:v>
      </x:c>
      <x:c r="B45" s="164" t="n">
        <x:f>'02_收支口径脉冲'!E45</x:f>
        <x:v>6.403416001332024</x:v>
      </x:c>
      <x:c r="C45" s="161" t="n">
        <x:f>IF(OR($A45&lt;DATE(2022,2,1),D45="",I45=""),"",D45/I45*100)</x:f>
        <x:v>5.704405775462963</x:v>
      </x:c>
      <x:c r="D45" s="162" t="n">
        <x:f>IF(OR(E45="",F45=""),"",E45-F45)</x:f>
        <x:v>71912</x:v>
      </x:c>
      <x:c r="E45" s="162" t="n">
        <x:f>IF(YEAR($A45)&lt;=2020,"",J45+INDEX($J:$J,ROW()-MONTH($A45))-INDEX($J:$J,ROW()-12))</x:f>
        <x:v>69323</x:v>
      </x:c>
      <x:c r="F45" s="162" t="n">
        <x:f>IF(OR(G45="",H45=""),"",G45-H45)</x:f>
        <x:v>-2589</x:v>
      </x:c>
      <x:c r="G45" s="162" t="n">
        <x:f>IF(YEAR($A45)&lt;=2020,"",K45+INDEX($K:$K,ROW()-MONTH($A45))-INDEX($K:$K,ROW()-12))</x:f>
        <x:v>30231</x:v>
      </x:c>
      <x:c r="H45" s="162" t="n">
        <x:f>IF(YEAR($A45)&lt;=2020,"",L45+INDEX($L:$L,ROW()-MONTH($A45))-INDEX($L:$L,ROW()-12))</x:f>
        <x:v>32820</x:v>
      </x:c>
      <x:c r="I45" s="163" t="n">
        <x:f>'02_收支口径脉冲'!I45</x:f>
        <x:v>1260639.633333333</x:v>
      </x:c>
      <x:c r="J45" s="163" t="n">
        <x:f>IFERROR(INDEX(Sheet4!$B$5:$B$500,MATCH($A45,Sheet4!$A$5:$A$500,0)),"")</x:f>
        <x:v>28411</x:v>
      </x:c>
      <x:c r="K45" s="163" t="n">
        <x:f>IFERROR(INDEX(Sheet4!$G$5:$G$500,MATCH($A45,Sheet4!$A$5:$A$500,0)),"")</x:f>
        <x:v>12841</x:v>
      </x:c>
      <x:c r="L45" s="163" t="n">
        <x:f>IFERROR(INDEX(Sheet1!$L$5:$L$500,MATCH($A45,Sheet1!$A$5:$A$500,0)),"")</x:f>
        <x:v>10418</x:v>
      </x:c>
    </x:row>
    <x:row r="46">
      <x:c r="A46" s="107" t="n">
        <x:v>45107</x:v>
      </x:c>
      <x:c r="B46" s="164" t="n">
        <x:f>'02_收支口径脉冲'!E46</x:f>
        <x:v>5.803458653515784</x:v>
      </x:c>
      <x:c r="C46" s="161" t="n">
        <x:f>IF(OR($A46&lt;DATE(2022,2,1),D46="",I46=""),"",D46/I46*100)</x:f>
        <x:v>4.953376574074074</x:v>
      </x:c>
      <x:c r="D46" s="162" t="n">
        <x:f>IF(OR(E46="",F46=""),"",E46-F46)</x:f>
        <x:v>62727</x:v>
      </x:c>
      <x:c r="E46" s="162" t="n">
        <x:f>IF(YEAR($A46)&lt;=2020,"",J46+INDEX($J:$J,ROW()-MONTH($A46))-INDEX($J:$J,ROW()-12))</x:f>
        <x:v>58479</x:v>
      </x:c>
      <x:c r="F46" s="162" t="n">
        <x:f>IF(OR(G46="",H46=""),"",G46-H46)</x:f>
        <x:v>-4248</x:v>
      </x:c>
      <x:c r="G46" s="162" t="n">
        <x:f>IF(YEAR($A46)&lt;=2020,"",K46+INDEX($K:$K,ROW()-MONTH($A46))-INDEX($K:$K,ROW()-12))</x:f>
        <x:v>30146</x:v>
      </x:c>
      <x:c r="H46" s="162" t="n">
        <x:f>IF(YEAR($A46)&lt;=2020,"",L46+INDEX($L:$L,ROW()-MONTH($A46))-INDEX($L:$L,ROW()-12))</x:f>
        <x:v>34394</x:v>
      </x:c>
      <x:c r="I46" s="163" t="n">
        <x:f>'02_收支口径脉冲'!I46</x:f>
        <x:v>1266348.2999999998</x:v>
      </x:c>
      <x:c r="J46" s="163" t="n">
        <x:f>IFERROR(INDEX(Sheet4!$B$5:$B$500,MATCH($A46,Sheet4!$A$5:$A$500,0)),"")</x:f>
        <x:v>33783</x:v>
      </x:c>
      <x:c r="K46" s="163" t="n">
        <x:f>IFERROR(INDEX(Sheet4!$G$5:$G$500,MATCH($A46,Sheet4!$A$5:$A$500,0)),"")</x:f>
        <x:v>16328</x:v>
      </x:c>
      <x:c r="L46" s="163" t="n">
        <x:f>IFERROR(INDEX(Sheet1!$L$5:$L$500,MATCH($A46,Sheet1!$A$5:$A$500,0)),"")</x:f>
        <x:v>16335</x:v>
      </x:c>
    </x:row>
    <x:row r="47">
      <x:c r="A47" s="107" t="n">
        <x:v>45138</x:v>
      </x:c>
      <x:c r="B47" s="164" t="n">
        <x:f>'02_收支口径脉冲'!E47</x:f>
        <x:v>5.5089523163958</x:v>
      </x:c>
      <x:c r="C47" s="161" t="n">
        <x:f>IF(OR($A47&lt;DATE(2022,2,1),D47="",I47=""),"",D47/I47*100)</x:f>
        <x:v>4.788795428240741</x:v>
      </x:c>
      <x:c r="D47" s="162" t="n">
        <x:f>IF(OR(E47="",F47=""),"",E47-F47)</x:f>
        <x:v>60851</x:v>
      </x:c>
      <x:c r="E47" s="162" t="n">
        <x:f>IF(YEAR($A47)&lt;=2020,"",J47+INDEX($J:$J,ROW()-MONTH($A47))-INDEX($J:$J,ROW()-12))</x:f>
        <x:v>58590</x:v>
      </x:c>
      <x:c r="F47" s="162" t="n">
        <x:f>IF(OR(G47="",H47=""),"",G47-H47)</x:f>
        <x:v>-2261</x:v>
      </x:c>
      <x:c r="G47" s="162" t="n">
        <x:f>IF(YEAR($A47)&lt;=2020,"",K47+INDEX($K:$K,ROW()-MONTH($A47))-INDEX($K:$K,ROW()-12))</x:f>
        <x:v>31169</x:v>
      </x:c>
      <x:c r="H47" s="162" t="n">
        <x:f>IF(YEAR($A47)&lt;=2020,"",L47+INDEX($L:$L,ROW()-MONTH($A47))-INDEX($L:$L,ROW()-12))</x:f>
        <x:v>33430</x:v>
      </x:c>
      <x:c r="I47" s="163" t="n">
        <x:f>'02_收支口径脉冲'!I47</x:f>
        <x:v>1270695.3333333333</x:v>
      </x:c>
      <x:c r="J47" s="163" t="n">
        <x:f>IFERROR(INDEX(Sheet4!$B$5:$B$500,MATCH($A47,Sheet4!$A$5:$A$500,0)),"")</x:f>
        <x:v>37892</x:v>
      </x:c>
      <x:c r="K47" s="163" t="n">
        <x:f>IFERROR(INDEX(Sheet4!$G$5:$G$500,MATCH($A47,Sheet4!$A$5:$A$500,0)),"")</x:f>
        <x:v>20166</x:v>
      </x:c>
      <x:c r="L47" s="163" t="n">
        <x:f>IFERROR(INDEX(Sheet1!$L$5:$L$500,MATCH($A47,Sheet1!$A$5:$A$500,0)),"")</x:f>
        <x:v>20291</x:v>
      </x:c>
    </x:row>
    <x:row r="48">
      <x:c r="A48" s="107" t="n">
        <x:v>45169</x:v>
      </x:c>
      <x:c r="B48" s="164" t="n">
        <x:f>'02_收支口径脉冲'!E48</x:f>
        <x:v>5.666086232794722</x:v>
      </x:c>
      <x:c r="C48" s="161" t="n">
        <x:f>IF(OR($A48&lt;DATE(2022,2,1),D48="",I48=""),"",D48/I48*100)</x:f>
        <x:v>5.490876377314815</x:v>
      </x:c>
      <x:c r="D48" s="162" t="n">
        <x:f>IF(OR(E48="",F48=""),"",E48-F48)</x:f>
        <x:v>70011</x:v>
      </x:c>
      <x:c r="E48" s="162" t="n">
        <x:f>IF(YEAR($A48)&lt;=2020,"",J48+INDEX($J:$J,ROW()-MONTH($A48))-INDEX($J:$J,ROW()-12))</x:f>
        <x:v>67304</x:v>
      </x:c>
      <x:c r="F48" s="162" t="n">
        <x:f>IF(OR(G48="",H48=""),"",G48-H48)</x:f>
        <x:v>-2707</x:v>
      </x:c>
      <x:c r="G48" s="162" t="n">
        <x:f>IF(YEAR($A48)&lt;=2020,"",K48+INDEX($K:$K,ROW()-MONTH($A48))-INDEX($K:$K,ROW()-12))</x:f>
        <x:v>33919</x:v>
      </x:c>
      <x:c r="H48" s="162" t="n">
        <x:f>IF(YEAR($A48)&lt;=2020,"",L48+INDEX($L:$L,ROW()-MONTH($A48))-INDEX($L:$L,ROW()-12))</x:f>
        <x:v>36626</x:v>
      </x:c>
      <x:c r="I48" s="163" t="n">
        <x:f>'02_收支口径脉冲'!I48</x:f>
        <x:v>1275042.3666666667</x:v>
      </x:c>
      <x:c r="J48" s="163" t="n">
        <x:f>IFERROR(INDEX(Sheet4!$B$5:$B$500,MATCH($A48,Sheet4!$A$5:$A$500,0)),"")</x:f>
        <x:v>49651</x:v>
      </x:c>
      <x:c r="K48" s="163" t="n">
        <x:f>IFERROR(INDEX(Sheet4!$G$5:$G$500,MATCH($A48,Sheet4!$A$5:$A$500,0)),"")</x:f>
        <x:v>26183</x:v>
      </x:c>
      <x:c r="L48" s="163" t="n">
        <x:f>IFERROR(INDEX(Sheet1!$L$5:$L$500,MATCH($A48,Sheet1!$A$5:$A$500,0)),"")</x:f>
        <x:v>26205</x:v>
      </x:c>
    </x:row>
    <x:row r="49">
      <x:c r="A49" s="107" t="n">
        <x:v>45199</x:v>
      </x:c>
      <x:c r="B49" s="164" t="n">
        <x:f>'02_收支口径脉冲'!E49</x:f>
        <x:v>6.006380856367889</x:v>
      </x:c>
      <x:c r="C49" s="161" t="n">
        <x:f>IF(OR($A49&lt;DATE(2022,2,1),D49="",I49=""),"",D49/I49*100)</x:f>
        <x:v>5.946899363425926</x:v>
      </x:c>
      <x:c r="D49" s="162" t="n">
        <x:f>IF(OR(E49="",F49=""),"",E49-F49)</x:f>
        <x:v>76084</x:v>
      </x:c>
      <x:c r="E49" s="162" t="n">
        <x:f>IF(YEAR($A49)&lt;=2020,"",J49+INDEX($J:$J,ROW()-MONTH($A49))-INDEX($J:$J,ROW()-12))</x:f>
        <x:v>71690</x:v>
      </x:c>
      <x:c r="F49" s="162" t="n">
        <x:f>IF(OR(G49="",H49=""),"",G49-H49)</x:f>
        <x:v>-4394</x:v>
      </x:c>
      <x:c r="G49" s="162" t="n">
        <x:f>IF(YEAR($A49)&lt;=2020,"",K49+INDEX($K:$K,ROW()-MONTH($A49))-INDEX($K:$K,ROW()-12))</x:f>
        <x:v>34741</x:v>
      </x:c>
      <x:c r="H49" s="162" t="n">
        <x:f>IF(YEAR($A49)&lt;=2020,"",L49+INDEX($L:$L,ROW()-MONTH($A49))-INDEX($L:$L,ROW()-12))</x:f>
        <x:v>39135</x:v>
      </x:c>
      <x:c r="I49" s="163" t="n">
        <x:f>'02_收支口径脉冲'!I49</x:f>
        <x:v>1279389.4000000001</x:v>
      </x:c>
      <x:c r="J49" s="163" t="n">
        <x:f>IFERROR(INDEX(Sheet4!$B$5:$B$500,MATCH($A49,Sheet4!$A$5:$A$500,0)),"")</x:f>
        <x:v>59571</x:v>
      </x:c>
      <x:c r="K49" s="163" t="n">
        <x:f>IFERROR(INDEX(Sheet4!$G$5:$G$500,MATCH($A49,Sheet4!$A$5:$A$500,0)),"")</x:f>
        <x:v>29694</x:v>
      </x:c>
      <x:c r="L49" s="163" t="n">
        <x:f>IFERROR(INDEX(Sheet1!$L$5:$L$500,MATCH($A49,Sheet1!$A$5:$A$500,0)),"")</x:f>
        <x:v>32439</x:v>
      </x:c>
    </x:row>
    <x:row r="50">
      <x:c r="A50" s="107" t="n">
        <x:v>45230</x:v>
      </x:c>
      <x:c r="B50" s="164" t="n">
        <x:f>'02_收支口径脉冲'!E50</x:f>
        <x:v>6.255147544649425</x:v>
      </x:c>
      <x:c r="C50" s="161" t="n">
        <x:f>IF(OR($A50&lt;DATE(2022,2,1),D50="",I50=""),"",D50/I50*100)</x:f>
        <x:v>6.165997407407407</x:v>
      </x:c>
      <x:c r="D50" s="162" t="n">
        <x:f>IF(OR(E50="",F50=""),"",E50-F50)</x:f>
        <x:v>79193</x:v>
      </x:c>
      <x:c r="E50" s="162" t="n">
        <x:f>IF(YEAR($A50)&lt;=2020,"",J50+INDEX($J:$J,ROW()-MONTH($A50))-INDEX($J:$J,ROW()-12))</x:f>
        <x:v>84537</x:v>
      </x:c>
      <x:c r="F50" s="162" t="n">
        <x:f>IF(OR(G50="",H50=""),"",G50-H50)</x:f>
        <x:v>5344</x:v>
      </x:c>
      <x:c r="G50" s="162" t="n">
        <x:f>IF(YEAR($A50)&lt;=2020,"",K50+INDEX($K:$K,ROW()-MONTH($A50))-INDEX($K:$K,ROW()-12))</x:f>
        <x:v>44185</x:v>
      </x:c>
      <x:c r="H50" s="162" t="n">
        <x:f>IF(YEAR($A50)&lt;=2020,"",L50+INDEX($L:$L,ROW()-MONTH($A50))-INDEX($L:$L,ROW()-12))</x:f>
        <x:v>38841</x:v>
      </x:c>
      <x:c r="I50" s="163" t="n">
        <x:f>'02_收支口径脉冲'!I50</x:f>
        <x:v>1284350.2000000002</x:v>
      </x:c>
      <x:c r="J50" s="163" t="n">
        <x:f>IFERROR(INDEX(Sheet4!$B$5:$B$500,MATCH($A50,Sheet4!$A$5:$A$500,0)),"")</x:f>
        <x:v>75209</x:v>
      </x:c>
      <x:c r="K50" s="163" t="n">
        <x:f>IFERROR(INDEX(Sheet4!$G$5:$G$500,MATCH($A50,Sheet4!$A$5:$A$500,0)),"")</x:f>
        <x:v>41390</x:v>
      </x:c>
      <x:c r="L50" s="163" t="n">
        <x:f>IFERROR(INDEX(Sheet1!$L$5:$L$500,MATCH($A50,Sheet1!$A$5:$A$500,0)),"")</x:f>
        <x:v>34387</x:v>
      </x:c>
    </x:row>
    <x:row r="51">
      <x:c r="A51" s="107" t="n">
        <x:v>45260</x:v>
      </x:c>
      <x:c r="B51" s="164" t="n">
        <x:f>'02_收支口径脉冲'!E51</x:f>
        <x:v>6.3367953891652204</x:v>
      </x:c>
      <x:c r="C51" s="161" t="n">
        <x:f>IF(OR($A51&lt;DATE(2022,2,1),D51="",I51=""),"",D51/I51*100)</x:f>
        <x:v>6.135447546296296</x:v>
      </x:c>
      <x:c r="D51" s="162" t="n">
        <x:f>IF(OR(E51="",F51=""),"",E51-F51)</x:f>
        <x:v>79105</x:v>
      </x:c>
      <x:c r="E51" s="162" t="n">
        <x:f>IF(YEAR($A51)&lt;=2020,"",J51+INDEX($J:$J,ROW()-MONTH($A51))-INDEX($J:$J,ROW()-12))</x:f>
        <x:v>89529</x:v>
      </x:c>
      <x:c r="F51" s="162" t="n">
        <x:f>IF(OR(G51="",H51=""),"",G51-H51)</x:f>
        <x:v>10424</x:v>
      </x:c>
      <x:c r="G51" s="162" t="n">
        <x:f>IF(YEAR($A51)&lt;=2020,"",K51+INDEX($K:$K,ROW()-MONTH($A51))-INDEX($K:$K,ROW()-12))</x:f>
        <x:v>46770</x:v>
      </x:c>
      <x:c r="H51" s="162" t="n">
        <x:f>IF(YEAR($A51)&lt;=2020,"",L51+INDEX($L:$L,ROW()-MONTH($A51))-INDEX($L:$L,ROW()-12))</x:f>
        <x:v>36346</x:v>
      </x:c>
      <x:c r="I51" s="163" t="n">
        <x:f>'02_收支口径脉冲'!I51</x:f>
        <x:v>1289311.0000000002</x:v>
      </x:c>
      <x:c r="J51" s="163" t="n">
        <x:f>IFERROR(INDEX(Sheet4!$B$5:$B$500,MATCH($A51,Sheet4!$A$5:$A$500,0)),"")</x:f>
        <x:v>86721</x:v>
      </x:c>
      <x:c r="K51" s="163" t="n">
        <x:f>IFERROR(INDEX(Sheet4!$G$5:$G$500,MATCH($A51,Sheet4!$A$5:$A$500,0)),"")</x:f>
        <x:v>45953</x:v>
      </x:c>
      <x:c r="L51" s="163" t="n">
        <x:f>IFERROR(INDEX(Sheet1!$L$5:$L$500,MATCH($A51,Sheet1!$A$5:$A$500,0)),"")</x:f>
        <x:v>35685</x:v>
      </x:c>
    </x:row>
    <x:row r="52">
      <x:c r="A52" s="107" t="n">
        <x:v>45291</x:v>
      </x:c>
      <x:c r="B52" s="164" t="n">
        <x:f>'02_收支口径脉冲'!E52</x:f>
        <x:v>6.83194982692198</x:v>
      </x:c>
      <x:c r="C52" s="161" t="n">
        <x:f>IF(OR($A52&lt;DATE(2022,2,1),D52="",I52=""),"",D52/I52*100)</x:f>
        <x:v>6.636936701388889</x:v>
      </x:c>
      <x:c r="D52" s="162" t="n">
        <x:f>IF(OR(E52="",F52=""),"",E52-F52)</x:f>
        <x:v>85900</x:v>
      </x:c>
      <x:c r="E52" s="162" t="n">
        <x:f>IF(YEAR($A52)&lt;=2020,"",J52+INDEX($J:$J,ROW()-MONTH($A52))-INDEX($J:$J,ROW()-12))</x:f>
        <x:v>96045</x:v>
      </x:c>
      <x:c r="F52" s="162" t="n">
        <x:f>IF(OR(G52="",H52=""),"",G52-H52)</x:f>
        <x:v>10145</x:v>
      </x:c>
      <x:c r="G52" s="162" t="n">
        <x:f>IF(YEAR($A52)&lt;=2020,"",K52+INDEX($K:$K,ROW()-MONTH($A52))-INDEX($K:$K,ROW()-12))</x:f>
        <x:v>46803</x:v>
      </x:c>
      <x:c r="H52" s="162" t="n">
        <x:f>IF(YEAR($A52)&lt;=2020,"",L52+INDEX($L:$L,ROW()-MONTH($A52))-INDEX($L:$L,ROW()-12))</x:f>
        <x:v>36658</x:v>
      </x:c>
      <x:c r="I52" s="163" t="n">
        <x:f>'02_收支口径脉冲'!I52</x:f>
        <x:v>1294271.8000000003</x:v>
      </x:c>
      <x:c r="J52" s="163" t="n">
        <x:f>IFERROR(INDEX(Sheet4!$B$5:$B$500,MATCH($A52,Sheet4!$A$5:$A$500,0)),"")</x:f>
        <x:v>96045</x:v>
      </x:c>
      <x:c r="K52" s="163" t="n">
        <x:f>IFERROR(INDEX(Sheet4!$G$5:$G$500,MATCH($A52,Sheet4!$A$5:$A$500,0)),"")</x:f>
        <x:v>46803</x:v>
      </x:c>
      <x:c r="L52" s="163" t="n">
        <x:f>IFERROR(INDEX(Sheet1!$L$5:$L$500,MATCH($A52,Sheet1!$A$5:$A$500,0)),"")</x:f>
        <x:v>36658</x:v>
      </x:c>
    </x:row>
    <x:row r="53">
      <x:c r="A53" s="107" t="n">
        <x:v>45322</x:v>
      </x:c>
      <x:c r="B53" s="164" t="str">
        <x:f>'02_收支口径脉冲'!E53</x:f>
      </x:c>
      <x:c r="C53" s="161" t="n">
        <x:f>IF(OR($A53&lt;DATE(2022,2,1),D53="",I53=""),"",D53/I53*100)</x:f>
        <x:v>6.471112326388889</x:v>
      </x:c>
      <x:c r="D53" s="162" t="n">
        <x:f>IF(OR(E53="",F53=""),"",E53-F53)</x:f>
        <x:v>84016</x:v>
      </x:c>
      <x:c r="E53" s="162" t="n">
        <x:f>IF(YEAR($A53)&lt;=2020,"",J53+INDEX($J:$J,ROW()-MONTH($A53))-INDEX($J:$J,ROW()-12))</x:f>
        <x:v>94852</x:v>
      </x:c>
      <x:c r="F53" s="162" t="n">
        <x:f>IF(OR(G53="",H53=""),"",G53-H53)</x:f>
        <x:v>10836</x:v>
      </x:c>
      <x:c r="G53" s="162" t="n">
        <x:f>IF(YEAR($A53)&lt;=2020,"",K53+INDEX($K:$K,ROW()-MONTH($A53))-INDEX($K:$K,ROW()-12))</x:f>
        <x:v>48717</x:v>
      </x:c>
      <x:c r="H53" s="162" t="n">
        <x:f>IF(YEAR($A53)&lt;=2020,"",L53+INDEX($L:$L,ROW()-MONTH($A53))-INDEX($L:$L,ROW()-12))</x:f>
        <x:v>37881</x:v>
      </x:c>
      <x:c r="I53" s="163" t="n">
        <x:f>'02_收支口径脉冲'!I53</x:f>
        <x:v>1298323.9333333333</x:v>
      </x:c>
      <x:c r="J53" s="163" t="n">
        <x:f>IFERROR(INDEX(Sheet4!$B$5:$B$500,MATCH($A53,Sheet4!$A$5:$A$500,0)),"")</x:f>
        <x:v>2947</x:v>
      </x:c>
      <x:c r="K53" s="163" t="n">
        <x:f>IFERROR(INDEX(Sheet4!$G$5:$G$500,MATCH($A53,Sheet4!$A$5:$A$500,0)),"")</x:f>
        <x:v>2091</x:v>
      </x:c>
      <x:c r="L53" s="163" t="n">
        <x:f>IFERROR(INDEX(Sheet1!$L$5:$L$500,MATCH($A53,Sheet1!$A$5:$A$500,0)),"")</x:f>
        <x:v>1258</x:v>
      </x:c>
    </x:row>
    <x:row r="54">
      <x:c r="A54" s="107" t="n">
        <x:v>45351</x:v>
      </x:c>
      <x:c r="B54" s="164" t="n">
        <x:f>'02_收支口径脉冲'!E54</x:f>
        <x:v>6.968263800506981</x:v>
      </x:c>
      <x:c r="C54" s="161" t="n">
        <x:f>IF(OR($A54&lt;DATE(2022,2,1),D54="",I54=""),"",D54/I54*100)</x:f>
        <x:v>6.341716666666667</x:v>
      </x:c>
      <x:c r="D54" s="162" t="n">
        <x:f>IF(OR(E54="",F54=""),"",E54-F54)</x:f>
        <x:v>82593</x:v>
      </x:c>
      <x:c r="E54" s="162" t="n">
        <x:f>IF(YEAR($A54)&lt;=2020,"",J54+INDEX($J:$J,ROW()-MONTH($A54))-INDEX($J:$J,ROW()-12))</x:f>
        <x:v>92725</x:v>
      </x:c>
      <x:c r="F54" s="162" t="n">
        <x:f>IF(OR(G54="",H54=""),"",G54-H54)</x:f>
        <x:v>10132</x:v>
      </x:c>
      <x:c r="G54" s="162" t="n">
        <x:f>IF(YEAR($A54)&lt;=2020,"",K54+INDEX($K:$K,ROW()-MONTH($A54))-INDEX($K:$K,ROW()-12))</x:f>
        <x:v>48969</x:v>
      </x:c>
      <x:c r="H54" s="162" t="n">
        <x:f>IF(YEAR($A54)&lt;=2020,"",L54+INDEX($L:$L,ROW()-MONTH($A54))-INDEX($L:$L,ROW()-12))</x:f>
        <x:v>38837</x:v>
      </x:c>
      <x:c r="I54" s="163" t="n">
        <x:f>'02_收支口径脉冲'!I54</x:f>
        <x:v>1302376.0666666667</x:v>
      </x:c>
      <x:c r="J54" s="163" t="n">
        <x:f>IFERROR(INDEX(Sheet4!$B$5:$B$500,MATCH($A54,Sheet4!$A$5:$A$500,0)),"")</x:f>
        <x:v>8958</x:v>
      </x:c>
      <x:c r="K54" s="163" t="n">
        <x:f>IFERROR(INDEX(Sheet4!$G$5:$G$500,MATCH($A54,Sheet4!$A$5:$A$500,0)),"")</x:f>
        <x:v>3685</x:v>
      </x:c>
      <x:c r="L54" s="163" t="n">
        <x:f>IFERROR(INDEX(Sheet1!$L$5:$L$500,MATCH($A54,Sheet1!$A$5:$A$500,0)),"")</x:f>
        <x:v>2725</x:v>
      </x:c>
    </x:row>
    <x:row r="55">
      <x:c r="A55" s="107" t="n">
        <x:v>45382</x:v>
      </x:c>
      <x:c r="B55" s="164" t="n">
        <x:f>'02_收支口径脉冲'!E55</x:f>
        <x:v>6.811855408510013</x:v>
      </x:c>
      <x:c r="C55" s="161" t="n">
        <x:f>IF(OR($A55&lt;DATE(2022,2,1),D55="",I55=""),"",D55/I55*100)</x:f>
        <x:v>6.186792361111111</x:v>
      </x:c>
      <x:c r="D55" s="162" t="n">
        <x:f>IF(OR(E55="",F55=""),"",E55-F55)</x:f>
        <x:v>80826</x:v>
      </x:c>
      <x:c r="E55" s="162" t="n">
        <x:f>IF(YEAR($A55)&lt;=2020,"",J55+INDEX($J:$J,ROW()-MONTH($A55))-INDEX($J:$J,ROW()-12))</x:f>
        <x:v>91337</x:v>
      </x:c>
      <x:c r="F55" s="162" t="n">
        <x:f>IF(OR(G55="",H55=""),"",G55-H55)</x:f>
        <x:v>10511</x:v>
      </x:c>
      <x:c r="G55" s="162" t="n">
        <x:f>IF(YEAR($A55)&lt;=2020,"",K55+INDEX($K:$K,ROW()-MONTH($A55))-INDEX($K:$K,ROW()-12))</x:f>
        <x:v>49717</x:v>
      </x:c>
      <x:c r="H55" s="162" t="n">
        <x:f>IF(YEAR($A55)&lt;=2020,"",L55+INDEX($L:$L,ROW()-MONTH($A55))-INDEX($L:$L,ROW()-12))</x:f>
        <x:v>39206</x:v>
      </x:c>
      <x:c r="I55" s="163" t="n">
        <x:f>'02_收支口径脉冲'!I55</x:f>
        <x:v>1306428.1999999997</x:v>
      </x:c>
      <x:c r="J55" s="163" t="n">
        <x:f>IFERROR(INDEX(Sheet4!$B$5:$B$500,MATCH($A55,Sheet4!$A$5:$A$500,0)),"")</x:f>
        <x:v>13584</x:v>
      </x:c>
      <x:c r="K55" s="163" t="n">
        <x:f>IFERROR(INDEX(Sheet4!$G$5:$G$500,MATCH($A55,Sheet4!$A$5:$A$500,0)),"")</x:f>
        <x:v>7316</x:v>
      </x:c>
      <x:c r="L55" s="163" t="n">
        <x:f>IFERROR(INDEX(Sheet1!$L$5:$L$500,MATCH($A55,Sheet1!$A$5:$A$500,0)),"")</x:f>
        <x:v>6172</x:v>
      </x:c>
    </x:row>
    <x:row r="56">
      <x:c r="A56" s="107" t="n">
        <x:v>45412</x:v>
      </x:c>
      <x:c r="B56" s="164" t="n">
        <x:f>'02_收支口径脉冲'!E56</x:f>
        <x:v>6.80030496237886</x:v>
      </x:c>
      <x:c r="C56" s="161" t="n">
        <x:f>IF(OR($A56&lt;DATE(2022,2,1),D56="",I56=""),"",D56/I56*100)</x:f>
        <x:v>5.771800902777778</x:v>
      </x:c>
      <x:c r="D56" s="162" t="n">
        <x:f>IF(OR(E56="",F56=""),"",E56-F56)</x:f>
        <x:v>75642</x:v>
      </x:c>
      <x:c r="E56" s="162" t="n">
        <x:f>IF(YEAR($A56)&lt;=2020,"",J56+INDEX($J:$J,ROW()-MONTH($A56))-INDEX($J:$J,ROW()-12))</x:f>
        <x:v>85805</x:v>
      </x:c>
      <x:c r="F56" s="162" t="n">
        <x:f>IF(OR(G56="",H56=""),"",G56-H56)</x:f>
        <x:v>10163</x:v>
      </x:c>
      <x:c r="G56" s="162" t="n">
        <x:f>IF(YEAR($A56)&lt;=2020,"",K56+INDEX($K:$K,ROW()-MONTH($A56))-INDEX($K:$K,ROW()-12))</x:f>
        <x:v>47967</x:v>
      </x:c>
      <x:c r="H56" s="162" t="n">
        <x:f>IF(YEAR($A56)&lt;=2020,"",L56+INDEX($L:$L,ROW()-MONTH($A56))-INDEX($L:$L,ROW()-12))</x:f>
        <x:v>37804</x:v>
      </x:c>
      <x:c r="I56" s="163" t="n">
        <x:f>'02_收支口径脉冲'!I56</x:f>
        <x:v>1310544.1666666665</x:v>
      </x:c>
      <x:c r="J56" s="163" t="n">
        <x:f>IFERROR(INDEX(Sheet4!$B$5:$B$500,MATCH($A56,Sheet4!$A$5:$A$500,0)),"")</x:f>
        <x:v>12600</x:v>
      </x:c>
      <x:c r="K56" s="163" t="n">
        <x:f>IFERROR(INDEX(Sheet4!$G$5:$G$500,MATCH($A56,Sheet4!$A$5:$A$500,0)),"")</x:f>
        <x:v>9470</x:v>
      </x:c>
      <x:c r="L56" s="163" t="n">
        <x:f>IFERROR(INDEX(Sheet1!$L$5:$L$500,MATCH($A56,Sheet1!$A$5:$A$500,0)),"")</x:f>
        <x:v>9062</x:v>
      </x:c>
    </x:row>
    <x:row r="57">
      <x:c r="A57" s="107" t="n">
        <x:v>45443</x:v>
      </x:c>
      <x:c r="B57" s="164" t="n">
        <x:f>'02_收支口径脉冲'!E57</x:f>
        <x:v>6.855155771058091</x:v>
      </x:c>
      <x:c r="C57" s="161" t="n">
        <x:f>IF(OR($A57&lt;DATE(2022,2,1),D57="",I57=""),"",D57/I57*100)</x:f>
        <x:v>6.303834583333333</x:v>
      </x:c>
      <x:c r="D57" s="162" t="n">
        <x:f>IF(OR(E57="",F57=""),"",E57-F57)</x:f>
        <x:v>82874</x:v>
      </x:c>
      <x:c r="E57" s="162" t="n">
        <x:f>IF(YEAR($A57)&lt;=2020,"",J57+INDEX($J:$J,ROW()-MONTH($A57))-INDEX($J:$J,ROW()-12))</x:f>
        <x:v>92534</x:v>
      </x:c>
      <x:c r="F57" s="162" t="n">
        <x:f>IF(OR(G57="",H57=""),"",G57-H57)</x:f>
        <x:v>9660</x:v>
      </x:c>
      <x:c r="G57" s="162" t="n">
        <x:f>IF(YEAR($A57)&lt;=2020,"",K57+INDEX($K:$K,ROW()-MONTH($A57))-INDEX($K:$K,ROW()-12))</x:f>
        <x:v>47648</x:v>
      </x:c>
      <x:c r="H57" s="162" t="n">
        <x:f>IF(YEAR($A57)&lt;=2020,"",L57+INDEX($L:$L,ROW()-MONTH($A57))-INDEX($L:$L,ROW()-12))</x:f>
        <x:v>37988</x:v>
      </x:c>
      <x:c r="I57" s="163" t="n">
        <x:f>'02_收支口径脉冲'!I57</x:f>
        <x:v>1314660.1333333333</x:v>
      </x:c>
      <x:c r="J57" s="163" t="n">
        <x:f>IFERROR(INDEX(Sheet4!$B$5:$B$500,MATCH($A57,Sheet4!$A$5:$A$500,0)),"")</x:f>
        <x:v>24900</x:v>
      </x:c>
      <x:c r="K57" s="163" t="n">
        <x:f>IFERROR(INDEX(Sheet4!$G$5:$G$500,MATCH($A57,Sheet4!$A$5:$A$500,0)),"")</x:f>
        <x:v>13686</x:v>
      </x:c>
      <x:c r="L57" s="163" t="n">
        <x:f>IFERROR(INDEX(Sheet1!$L$5:$L$500,MATCH($A57,Sheet1!$A$5:$A$500,0)),"")</x:f>
        <x:v>11748</x:v>
      </x:c>
    </x:row>
    <x:row r="58">
      <x:c r="A58" s="107" t="n">
        <x:v>45473</x:v>
      </x:c>
      <x:c r="B58" s="164" t="n">
        <x:f>'02_收支口径脉冲'!E58</x:f>
        <x:v>6.851807520624615</x:v>
      </x:c>
      <x:c r="C58" s="161" t="n">
        <x:f>IF(OR($A58&lt;DATE(2022,2,1),D58="",I58=""),"",D58/I58*100)</x:f>
        <x:v>6.447948217592592</x:v>
      </x:c>
      <x:c r="D58" s="162" t="n">
        <x:f>IF(OR(E58="",F58=""),"",E58-F58)</x:f>
        <x:v>85034</x:v>
      </x:c>
      <x:c r="E58" s="162" t="n">
        <x:f>IF(YEAR($A58)&lt;=2020,"",J58+INDEX($J:$J,ROW()-MONTH($A58))-INDEX($J:$J,ROW()-12))</x:f>
        <x:v>95652</x:v>
      </x:c>
      <x:c r="F58" s="162" t="n">
        <x:f>IF(OR(G58="",H58=""),"",G58-H58)</x:f>
        <x:v>10618</x:v>
      </x:c>
      <x:c r="G58" s="162" t="n">
        <x:f>IF(YEAR($A58)&lt;=2020,"",K58+INDEX($K:$K,ROW()-MONTH($A58))-INDEX($K:$K,ROW()-12))</x:f>
        <x:v>47144</x:v>
      </x:c>
      <x:c r="H58" s="162" t="n">
        <x:f>IF(YEAR($A58)&lt;=2020,"",L58+INDEX($L:$L,ROW()-MONTH($A58))-INDEX($L:$L,ROW()-12))</x:f>
        <x:v>36526</x:v>
      </x:c>
      <x:c r="I58" s="163" t="n">
        <x:f>'02_收支口径脉冲'!I58</x:f>
        <x:v>1318776.1</x:v>
      </x:c>
      <x:c r="J58" s="163" t="n">
        <x:f>IFERROR(INDEX(Sheet4!$B$5:$B$500,MATCH($A58,Sheet4!$A$5:$A$500,0)),"")</x:f>
        <x:v>33390</x:v>
      </x:c>
      <x:c r="K58" s="163" t="n">
        <x:f>IFERROR(INDEX(Sheet4!$G$5:$G$500,MATCH($A58,Sheet4!$A$5:$A$500,0)),"")</x:f>
        <x:v>16669</x:v>
      </x:c>
      <x:c r="L58" s="163" t="n">
        <x:f>IFERROR(INDEX(Sheet1!$L$5:$L$500,MATCH($A58,Sheet1!$A$5:$A$500,0)),"")</x:f>
        <x:v>16203</x:v>
      </x:c>
    </x:row>
    <x:row r="59">
      <x:c r="A59" s="107" t="n">
        <x:v>45504</x:v>
      </x:c>
      <x:c r="B59" s="164" t="n">
        <x:f>'02_收支口径脉冲'!E59</x:f>
        <x:v>7.05285132697935</x:v>
      </x:c>
      <x:c r="C59" s="161" t="n">
        <x:f>IF(OR($A59&lt;DATE(2022,2,1),D59="",I59=""),"",D59/I59*100)</x:f>
        <x:v>6.727028148148148</x:v>
      </x:c>
      <x:c r="D59" s="162" t="n">
        <x:f>IF(OR(E59="",F59=""),"",E59-F59)</x:f>
        <x:v>89006</x:v>
      </x:c>
      <x:c r="E59" s="162" t="n">
        <x:f>IF(YEAR($A59)&lt;=2020,"",J59+INDEX($J:$J,ROW()-MONTH($A59))-INDEX($J:$J,ROW()-12))</x:f>
        <x:v>98453</x:v>
      </x:c>
      <x:c r="F59" s="162" t="n">
        <x:f>IF(OR(G59="",H59=""),"",G59-H59)</x:f>
        <x:v>9447</x:v>
      </x:c>
      <x:c r="G59" s="162" t="n">
        <x:f>IF(YEAR($A59)&lt;=2020,"",K59+INDEX($K:$K,ROW()-MONTH($A59))-INDEX($K:$K,ROW()-12))</x:f>
        <x:v>47214</x:v>
      </x:c>
      <x:c r="H59" s="162" t="n">
        <x:f>IF(YEAR($A59)&lt;=2020,"",L59+INDEX($L:$L,ROW()-MONTH($A59))-INDEX($L:$L,ROW()-12))</x:f>
        <x:v>37767</x:v>
      </x:c>
      <x:c r="I59" s="163" t="n">
        <x:f>'02_收支口径脉冲'!I59</x:f>
        <x:v>1323110.2666666666</x:v>
      </x:c>
      <x:c r="J59" s="163" t="n">
        <x:f>IFERROR(INDEX(Sheet4!$B$5:$B$500,MATCH($A59,Sheet4!$A$5:$A$500,0)),"")</x:f>
        <x:v>40300</x:v>
      </x:c>
      <x:c r="K59" s="163" t="n">
        <x:f>IFERROR(INDEX(Sheet4!$G$5:$G$500,MATCH($A59,Sheet4!$A$5:$A$500,0)),"")</x:f>
        <x:v>20577</x:v>
      </x:c>
      <x:c r="L59" s="163" t="n">
        <x:f>IFERROR(INDEX(Sheet1!$L$5:$L$500,MATCH($A59,Sheet1!$A$5:$A$500,0)),"")</x:f>
        <x:v>21400</x:v>
      </x:c>
    </x:row>
    <x:row r="60">
      <x:c r="A60" s="107" t="n">
        <x:v>45535</x:v>
      </x:c>
      <x:c r="B60" s="164" t="n">
        <x:f>'02_收支口径脉冲'!E60</x:f>
        <x:v>7.010914932710429</x:v>
      </x:c>
      <x:c r="C60" s="161" t="n">
        <x:f>IF(OR($A60&lt;DATE(2022,2,1),D60="",I60=""),"",D60/I60*100)</x:f>
        <x:v>7.129187314814815</x:v>
      </x:c>
      <x:c r="D60" s="162" t="n">
        <x:f>IF(OR(E60="",F60=""),"",E60-F60)</x:f>
        <x:v>94636</x:v>
      </x:c>
      <x:c r="E60" s="162" t="n">
        <x:f>IF(YEAR($A60)&lt;=2020,"",J60+INDEX($J:$J,ROW()-MONTH($A60))-INDEX($J:$J,ROW()-12))</x:f>
        <x:v>102794</x:v>
      </x:c>
      <x:c r="F60" s="162" t="n">
        <x:f>IF(OR(G60="",H60=""),"",G60-H60)</x:f>
        <x:v>8158</x:v>
      </x:c>
      <x:c r="G60" s="162" t="n">
        <x:f>IF(YEAR($A60)&lt;=2020,"",K60+INDEX($K:$K,ROW()-MONTH($A60))-INDEX($K:$K,ROW()-12))</x:f>
        <x:v>43815</x:v>
      </x:c>
      <x:c r="H60" s="162" t="n">
        <x:f>IF(YEAR($A60)&lt;=2020,"",L60+INDEX($L:$L,ROW()-MONTH($A60))-INDEX($L:$L,ROW()-12))</x:f>
        <x:v>35657</x:v>
      </x:c>
      <x:c r="I60" s="163" t="n">
        <x:f>'02_收支口径脉冲'!I60</x:f>
        <x:v>1327444.433333333</x:v>
      </x:c>
      <x:c r="J60" s="163" t="n">
        <x:f>IFERROR(INDEX(Sheet4!$B$5:$B$500,MATCH($A60,Sheet4!$A$5:$A$500,0)),"")</x:f>
        <x:v>56400</x:v>
      </x:c>
      <x:c r="K60" s="163" t="n">
        <x:f>IFERROR(INDEX(Sheet4!$G$5:$G$500,MATCH($A60,Sheet4!$A$5:$A$500,0)),"")</x:f>
        <x:v>23195</x:v>
      </x:c>
      <x:c r="L60" s="163" t="n">
        <x:f>IFERROR(INDEX(Sheet1!$L$5:$L$500,MATCH($A60,Sheet1!$A$5:$A$500,0)),"")</x:f>
        <x:v>25204</x:v>
      </x:c>
    </x:row>
    <x:row r="61">
      <x:c r="A61" s="107" t="n">
        <x:v>45565</x:v>
      </x:c>
      <x:c r="B61" s="164" t="n">
        <x:f>'02_收支口径脉冲'!E61</x:f>
        <x:v>7.348218390053724</x:v>
      </x:c>
      <x:c r="C61" s="161" t="n">
        <x:f>IF(OR($A61&lt;DATE(2022,2,1),D61="",I61=""),"",D61/I61*100)</x:f>
        <x:v>7.333200879629629</x:v>
      </x:c>
      <x:c r="D61" s="162" t="n">
        <x:f>IF(OR(E61="",F61=""),"",E61-F61)</x:f>
        <x:v>97662</x:v>
      </x:c>
      <x:c r="E61" s="162" t="n">
        <x:f>IF(YEAR($A61)&lt;=2020,"",J61+INDEX($J:$J,ROW()-MONTH($A61))-INDEX($J:$J,ROW()-12))</x:f>
        <x:v>108279</x:v>
      </x:c>
      <x:c r="F61" s="162" t="n">
        <x:f>IF(OR(G61="",H61=""),"",G61-H61)</x:f>
        <x:v>10617</x:v>
      </x:c>
      <x:c r="G61" s="162" t="n">
        <x:f>IF(YEAR($A61)&lt;=2020,"",K61+INDEX($K:$K,ROW()-MONTH($A61))-INDEX($K:$K,ROW()-12))</x:f>
        <x:v>41827</x:v>
      </x:c>
      <x:c r="H61" s="162" t="n">
        <x:f>IF(YEAR($A61)&lt;=2020,"",L61+INDEX($L:$L,ROW()-MONTH($A61))-INDEX($L:$L,ROW()-12))</x:f>
        <x:v>31210</x:v>
      </x:c>
      <x:c r="I61" s="163" t="n">
        <x:f>'02_收支口径脉冲'!I61</x:f>
        <x:v>1331778.5999999999</x:v>
      </x:c>
      <x:c r="J61" s="163" t="n">
        <x:f>IFERROR(INDEX(Sheet4!$B$5:$B$500,MATCH($A61,Sheet4!$A$5:$A$500,0)),"")</x:f>
        <x:v>71805</x:v>
      </x:c>
      <x:c r="K61" s="163" t="n">
        <x:f>IFERROR(INDEX(Sheet4!$G$5:$G$500,MATCH($A61,Sheet4!$A$5:$A$500,0)),"")</x:f>
        <x:v>24718</x:v>
      </x:c>
      <x:c r="L61" s="163" t="n">
        <x:f>IFERROR(INDEX(Sheet1!$L$5:$L$500,MATCH($A61,Sheet1!$A$5:$A$500,0)),"")</x:f>
        <x:v>26991</x:v>
      </x:c>
    </x:row>
    <x:row r="62">
      <x:c r="A62" s="107" t="n">
        <x:v>45596</x:v>
      </x:c>
      <x:c r="B62" s="164" t="n">
        <x:f>'02_收支口径脉冲'!E62</x:f>
        <x:v>7.643464239439825</x:v>
      </x:c>
      <x:c r="C62" s="161" t="n">
        <x:f>IF(OR($A62&lt;DATE(2022,2,1),D62="",I62=""),"",D62/I62*100)</x:f>
        <x:v>7.470417094907408</x:v>
      </x:c>
      <x:c r="D62" s="162" t="n">
        <x:f>IF(OR(E62="",F62=""),"",E62-F62)</x:f>
        <x:v>99895</x:v>
      </x:c>
      <x:c r="E62" s="162" t="n">
        <x:f>IF(YEAR($A62)&lt;=2020,"",J62+INDEX($J:$J,ROW()-MONTH($A62))-INDEX($J:$J,ROW()-12))</x:f>
        <x:v>103136</x:v>
      </x:c>
      <x:c r="F62" s="162" t="n">
        <x:f>IF(OR(G62="",H62=""),"",G62-H62)</x:f>
        <x:v>3241</x:v>
      </x:c>
      <x:c r="G62" s="162" t="n">
        <x:f>IF(YEAR($A62)&lt;=2020,"",K62+INDEX($K:$K,ROW()-MONTH($A62))-INDEX($K:$K,ROW()-12))</x:f>
        <x:v>33606</x:v>
      </x:c>
      <x:c r="H62" s="162" t="n">
        <x:f>IF(YEAR($A62)&lt;=2020,"",L62+INDEX($L:$L,ROW()-MONTH($A62))-INDEX($L:$L,ROW()-12))</x:f>
        <x:v>30365</x:v>
      </x:c>
      <x:c r="I62" s="163" t="n">
        <x:f>'02_收支口径脉冲'!I62</x:f>
        <x:v>1337207.7999999998</x:v>
      </x:c>
      <x:c r="J62" s="163" t="n">
        <x:f>IFERROR(INDEX(Sheet4!$B$5:$B$500,MATCH($A62,Sheet4!$A$5:$A$500,0)),"")</x:f>
        <x:v>82300</x:v>
      </x:c>
      <x:c r="K62" s="163" t="n">
        <x:f>IFERROR(INDEX(Sheet4!$G$5:$G$500,MATCH($A62,Sheet4!$A$5:$A$500,0)),"")</x:f>
        <x:v>28193</x:v>
      </x:c>
      <x:c r="L62" s="163" t="n">
        <x:f>IFERROR(INDEX(Sheet1!$L$5:$L$500,MATCH($A62,Sheet1!$A$5:$A$500,0)),"")</x:f>
        <x:v>28094</x:v>
      </x:c>
    </x:row>
    <x:row r="63">
      <x:c r="A63" s="107" t="n">
        <x:v>45626</x:v>
      </x:c>
      <x:c r="B63" s="164" t="n">
        <x:f>'02_收支口径脉冲'!E63</x:f>
        <x:v>7.710870473553165</x:v>
      </x:c>
      <x:c r="C63" s="161" t="n">
        <x:f>IF(OR($A63&lt;DATE(2022,2,1),D63="",I63=""),"",D63/I63*100)</x:f>
        <x:v>6.999285740740741</x:v>
      </x:c>
      <x:c r="D63" s="162" t="n">
        <x:f>IF(OR(E63="",F63=""),"",E63-F63)</x:f>
        <x:v>93975</x:v>
      </x:c>
      <x:c r="E63" s="162" t="n">
        <x:f>IF(YEAR($A63)&lt;=2020,"",J63+INDEX($J:$J,ROW()-MONTH($A63))-INDEX($J:$J,ROW()-12))</x:f>
        <x:v>104713</x:v>
      </x:c>
      <x:c r="F63" s="162" t="n">
        <x:f>IF(OR(G63="",H63=""),"",G63-H63)</x:f>
        <x:v>10738</x:v>
      </x:c>
      <x:c r="G63" s="162" t="n">
        <x:f>IF(YEAR($A63)&lt;=2020,"",K63+INDEX($K:$K,ROW()-MONTH($A63))-INDEX($K:$K,ROW()-12))</x:f>
        <x:v>41133</x:v>
      </x:c>
      <x:c r="H63" s="162" t="n">
        <x:f>IF(YEAR($A63)&lt;=2020,"",L63+INDEX($L:$L,ROW()-MONTH($A63))-INDEX($L:$L,ROW()-12))</x:f>
        <x:v>30395</x:v>
      </x:c>
      <x:c r="I63" s="163" t="n">
        <x:f>'02_收支口径脉冲'!I63</x:f>
        <x:v>1342637</x:v>
      </x:c>
      <x:c r="J63" s="163" t="n">
        <x:f>IFERROR(INDEX(Sheet4!$B$5:$B$500,MATCH($A63,Sheet4!$A$5:$A$500,0)),"")</x:f>
        <x:v>95389</x:v>
      </x:c>
      <x:c r="K63" s="163" t="n">
        <x:f>IFERROR(INDEX(Sheet4!$G$5:$G$500,MATCH($A63,Sheet4!$A$5:$A$500,0)),"")</x:f>
        <x:v>40283</x:v>
      </x:c>
      <x:c r="L63" s="163" t="n">
        <x:f>IFERROR(INDEX(Sheet1!$L$5:$L$500,MATCH($A63,Sheet1!$A$5:$A$500,0)),"")</x:f>
        <x:v>29422</x:v>
      </x:c>
    </x:row>
    <x:row r="64">
      <x:c r="A64" s="107" t="n">
        <x:v>45657</x:v>
      </x:c>
      <x:c r="B64" s="164" t="n">
        <x:f>'02_收支口径脉冲'!E64</x:f>
        <x:v>7.736860400475881</x:v>
      </x:c>
      <x:c r="C64" s="161" t="n">
        <x:f>IF(OR($A64&lt;DATE(2022,2,1),D64="",I64=""),"",D64/I64*100)</x:f>
        <x:v>6.83141525462963</x:v>
      </x:c>
      <x:c r="D64" s="162" t="n">
        <x:f>IF(OR(E64="",F64=""),"",E64-F64)</x:f>
        <x:v>92092</x:v>
      </x:c>
      <x:c r="E64" s="162" t="n">
        <x:f>IF(YEAR($A64)&lt;=2020,"",J64+INDEX($J:$J,ROW()-MONTH($A64))-INDEX($J:$J,ROW()-12))</x:f>
        <x:v>112955</x:v>
      </x:c>
      <x:c r="F64" s="162" t="n">
        <x:f>IF(OR(G64="",H64=""),"",G64-H64)</x:f>
        <x:v>20863</x:v>
      </x:c>
      <x:c r="G64" s="162" t="n">
        <x:f>IF(YEAR($A64)&lt;=2020,"",K64+INDEX($K:$K,ROW()-MONTH($A64))-INDEX($K:$K,ROW()-12))</x:f>
        <x:v>50743</x:v>
      </x:c>
      <x:c r="H64" s="162" t="n">
        <x:f>IF(YEAR($A64)&lt;=2020,"",L64+INDEX($L:$L,ROW()-MONTH($A64))-INDEX($L:$L,ROW()-12))</x:f>
        <x:v>29880</x:v>
      </x:c>
      <x:c r="I64" s="163" t="n">
        <x:f>'02_收支口径脉冲'!I64</x:f>
        <x:v>1348066.2000000002</x:v>
      </x:c>
      <x:c r="J64" s="163" t="n">
        <x:f>IFERROR(INDEX(Sheet4!$B$5:$B$500,MATCH($A64,Sheet4!$A$5:$A$500,0)),"")</x:f>
        <x:v>112955</x:v>
      </x:c>
      <x:c r="K64" s="163" t="n">
        <x:f>IFERROR(INDEX(Sheet4!$G$5:$G$500,MATCH($A64,Sheet4!$A$5:$A$500,0)),"")</x:f>
        <x:v>50743</x:v>
      </x:c>
      <x:c r="L64" s="163" t="n">
        <x:f>IFERROR(INDEX(Sheet1!$L$5:$L$500,MATCH($A64,Sheet1!$A$5:$A$500,0)),"")</x:f>
        <x:v>29880</x:v>
      </x:c>
    </x:row>
    <x:row r="65">
      <x:c r="A65" s="107" t="n">
        <x:v>45688</x:v>
      </x:c>
      <x:c r="B65" s="164" t="str">
        <x:f>'02_收支口径脉冲'!E65</x:f>
      </x:c>
      <x:c r="C65" s="161" t="n">
        <x:f>IF(OR($A65&lt;DATE(2022,2,1),D65="",I65=""),"",D65/I65*100)</x:f>
        <x:v>7.0380029861111115</x:v>
      </x:c>
      <x:c r="D65" s="162" t="n">
        <x:f>IF(OR(E65="",F65=""),"",E65-F65)</x:f>
        <x:v>95204</x:v>
      </x:c>
      <x:c r="E65" s="162" t="n">
        <x:f>IF(YEAR($A65)&lt;=2020,"",J65+INDEX($J:$J,ROW()-MONTH($A65))-INDEX($J:$J,ROW()-12))</x:f>
        <x:v>116941</x:v>
      </x:c>
      <x:c r="F65" s="162" t="n">
        <x:f>IF(OR(G65="",H65=""),"",G65-H65)</x:f>
        <x:v>21737</x:v>
      </x:c>
      <x:c r="G65" s="162" t="n">
        <x:f>IF(YEAR($A65)&lt;=2020,"",K65+INDEX($K:$K,ROW()-MONTH($A65))-INDEX($K:$K,ROW()-12))</x:f>
        <x:v>51174</x:v>
      </x:c>
      <x:c r="H65" s="162" t="n">
        <x:f>IF(YEAR($A65)&lt;=2020,"",L65+INDEX($L:$L,ROW()-MONTH($A65))-INDEX($L:$L,ROW()-12))</x:f>
        <x:v>29437</x:v>
      </x:c>
      <x:c r="I65" s="163" t="n">
        <x:f>'02_收支口径脉冲'!I65</x:f>
        <x:v>1352713.2666666666</x:v>
      </x:c>
      <x:c r="J65" s="163" t="n">
        <x:f>IFERROR(INDEX(Sheet4!$B$5:$B$500,MATCH($A65,Sheet4!$A$5:$A$500,0)),"")</x:f>
        <x:v>6933</x:v>
      </x:c>
      <x:c r="K65" s="163" t="n">
        <x:f>IFERROR(INDEX(Sheet4!$G$5:$G$500,MATCH($A65,Sheet4!$A$5:$A$500,0)),"")</x:f>
        <x:v>2522</x:v>
      </x:c>
      <x:c r="L65" s="163" t="n">
        <x:f>IFERROR(INDEX(Sheet1!$L$5:$L$500,MATCH($A65,Sheet1!$A$5:$A$500,0)),"")</x:f>
        <x:v>815</x:v>
      </x:c>
    </x:row>
    <x:row r="66">
      <x:c r="A66" s="107" t="n">
        <x:v>45716</x:v>
      </x:c>
      <x:c r="B66" s="164" t="n">
        <x:f>'02_收支口径脉冲'!E66</x:f>
        <x:v>7.912563625330635</x:v>
      </x:c>
      <x:c r="C66" s="161" t="n">
        <x:f>IF(OR($A66&lt;DATE(2022,2,1),D66="",I66=""),"",D66/I66*100)</x:f>
        <x:v>7.256510868055556</x:v>
      </x:c>
      <x:c r="D66" s="162" t="n">
        <x:f>IF(OR(E66="",F66=""),"",E66-F66)</x:f>
        <x:v>98497</x:v>
      </x:c>
      <x:c r="E66" s="162" t="n">
        <x:f>IF(YEAR($A66)&lt;=2020,"",J66+INDEX($J:$J,ROW()-MONTH($A66))-INDEX($J:$J,ROW()-12))</x:f>
        <x:v>127869</x:v>
      </x:c>
      <x:c r="F66" s="162" t="n">
        <x:f>IF(OR(G66="",H66=""),"",G66-H66)</x:f>
        <x:v>29372</x:v>
      </x:c>
      <x:c r="G66" s="162" t="n">
        <x:f>IF(YEAR($A66)&lt;=2020,"",K66+INDEX($K:$K,ROW()-MONTH($A66))-INDEX($K:$K,ROW()-12))</x:f>
        <x:v>57672</x:v>
      </x:c>
      <x:c r="H66" s="162" t="n">
        <x:f>IF(YEAR($A66)&lt;=2020,"",L66+INDEX($L:$L,ROW()-MONTH($A66))-INDEX($L:$L,ROW()-12))</x:f>
        <x:v>28300</x:v>
      </x:c>
      <x:c r="I66" s="163" t="n">
        <x:f>'02_收支口径脉冲'!I66</x:f>
        <x:v>1357360.3333333335</x:v>
      </x:c>
      <x:c r="J66" s="163" t="n">
        <x:f>IFERROR(INDEX(Sheet4!$B$5:$B$500,MATCH($A66,Sheet4!$A$5:$A$500,0)),"")</x:f>
        <x:v>23872</x:v>
      </x:c>
      <x:c r="K66" s="163" t="n">
        <x:f>IFERROR(INDEX(Sheet4!$G$5:$G$500,MATCH($A66,Sheet4!$A$5:$A$500,0)),"")</x:f>
        <x:v>10614</x:v>
      </x:c>
      <x:c r="L66" s="163" t="n">
        <x:f>IFERROR(INDEX(Sheet1!$L$5:$L$500,MATCH($A66,Sheet1!$A$5:$A$500,0)),"")</x:f>
        <x:v>1145</x:v>
      </x:c>
    </x:row>
    <x:row r="67">
      <x:c r="A67" s="107" t="n">
        <x:v>45747</x:v>
      </x:c>
      <x:c r="B67" s="164" t="n">
        <x:f>'02_收支口径脉冲'!E67</x:f>
        <x:v>8.154360982179682</x:v>
      </x:c>
      <x:c r="C67" s="161" t="n">
        <x:f>IF(OR($A67&lt;DATE(2022,2,1),D67="",I67=""),"",D67/I67*100)</x:f>
        <x:v>7.672792384259259</x:v>
      </x:c>
      <x:c r="D67" s="162" t="n">
        <x:f>IF(OR(E67="",F67=""),"",E67-F67)</x:f>
        <x:v>104504</x:v>
      </x:c>
      <x:c r="E67" s="162" t="n">
        <x:f>IF(YEAR($A67)&lt;=2020,"",J67+INDEX($J:$J,ROW()-MONTH($A67))-INDEX($J:$J,ROW()-12))</x:f>
        <x:v>138109</x:v>
      </x:c>
      <x:c r="F67" s="162" t="n">
        <x:f>IF(OR(G67="",H67=""),"",G67-H67)</x:f>
        <x:v>33605</x:v>
      </x:c>
      <x:c r="G67" s="162" t="n">
        <x:f>IF(YEAR($A67)&lt;=2020,"",K67+INDEX($K:$K,ROW()-MONTH($A67))-INDEX($K:$K,ROW()-12))</x:f>
        <x:v>59454</x:v>
      </x:c>
      <x:c r="H67" s="162" t="n">
        <x:f>IF(YEAR($A67)&lt;=2020,"",L67+INDEX($L:$L,ROW()-MONTH($A67))-INDEX($L:$L,ROW()-12))</x:f>
        <x:v>25849</x:v>
      </x:c>
      <x:c r="I67" s="163" t="n">
        <x:f>'02_收支口径脉冲'!I67</x:f>
        <x:v>1362007.4000000004</x:v>
      </x:c>
      <x:c r="J67" s="163" t="n">
        <x:f>IFERROR(INDEX(Sheet4!$B$5:$B$500,MATCH($A67,Sheet4!$A$5:$A$500,0)),"")</x:f>
        <x:v>38738</x:v>
      </x:c>
      <x:c r="K67" s="163" t="n">
        <x:f>IFERROR(INDEX(Sheet4!$G$5:$G$500,MATCH($A67,Sheet4!$A$5:$A$500,0)),"")</x:f>
        <x:v>16027</x:v>
      </x:c>
      <x:c r="L67" s="163" t="n">
        <x:f>IFERROR(INDEX(Sheet1!$L$5:$L$500,MATCH($A67,Sheet1!$A$5:$A$500,0)),"")</x:f>
        <x:v>2141</x:v>
      </x:c>
    </x:row>
    <x:row r="68">
      <x:c r="A68" s="107" t="n">
        <x:v>45777</x:v>
      </x:c>
      <x:c r="B68" s="164" t="n">
        <x:f>'02_收支口径脉冲'!E68</x:f>
        <x:v>8.310318444124606</x:v>
      </x:c>
      <x:c r="C68" s="161" t="n">
        <x:f>IF(OR($A68&lt;DATE(2022,2,1),D68="",I68=""),"",D68/I68*100)</x:f>
        <x:v>8.177914884259259</x:v>
      </x:c>
      <x:c r="D68" s="162" t="n">
        <x:f>IF(OR(E68="",F68=""),"",E68-F68)</x:f>
        <x:v>111733</x:v>
      </x:c>
      <x:c r="E68" s="162" t="n">
        <x:f>IF(YEAR($A68)&lt;=2020,"",J68+INDEX($J:$J,ROW()-MONTH($A68))-INDEX($J:$J,ROW()-12))</x:f>
        <x:v>148822</x:v>
      </x:c>
      <x:c r="F68" s="162" t="n">
        <x:f>IF(OR(G68="",H68=""),"",G68-H68)</x:f>
        <x:v>37089</x:v>
      </x:c>
      <x:c r="G68" s="162" t="n">
        <x:f>IF(YEAR($A68)&lt;=2020,"",K68+INDEX($K:$K,ROW()-MONTH($A68))-INDEX($K:$K,ROW()-12))</x:f>
        <x:v>61700</x:v>
      </x:c>
      <x:c r="H68" s="162" t="n">
        <x:f>IF(YEAR($A68)&lt;=2020,"",L68+INDEX($L:$L,ROW()-MONTH($A68))-INDEX($L:$L,ROW()-12))</x:f>
        <x:v>24611</x:v>
      </x:c>
      <x:c r="I68" s="163" t="n">
        <x:f>'02_收支口径脉冲'!I68</x:f>
        <x:v>1366277.366666667</x:v>
      </x:c>
      <x:c r="J68" s="163" t="n">
        <x:f>IFERROR(INDEX(Sheet4!$B$5:$B$500,MATCH($A68,Sheet4!$A$5:$A$500,0)),"")</x:f>
        <x:v>48467</x:v>
      </x:c>
      <x:c r="K68" s="163" t="n">
        <x:f>IFERROR(INDEX(Sheet4!$G$5:$G$500,MATCH($A68,Sheet4!$A$5:$A$500,0)),"")</x:f>
        <x:v>20427</x:v>
      </x:c>
      <x:c r="L68" s="163" t="n">
        <x:f>IFERROR(INDEX(Sheet1!$L$5:$L$500,MATCH($A68,Sheet1!$A$5:$A$500,0)),"")</x:f>
        <x:v>3793</x:v>
      </x:c>
    </x:row>
    <x:row r="69">
      <x:c r="A69" s="107" t="n">
        <x:v>45808</x:v>
      </x:c>
      <x:c r="B69" s="164" t="n">
        <x:f>'02_收支口径脉冲'!E69</x:f>
        <x:v>8.373078200874492</x:v>
      </x:c>
      <x:c r="C69" s="161" t="n">
        <x:f>IF(OR($A69&lt;DATE(2022,2,1),D69="",I69=""),"",D69/I69*100)</x:f>
        <x:v>8.385263125</x:v>
      </x:c>
      <x:c r="D69" s="162" t="n">
        <x:f>IF(OR(E69="",F69=""),"",E69-F69)</x:f>
        <x:v>114924</x:v>
      </x:c>
      <x:c r="E69" s="162" t="n">
        <x:f>IF(YEAR($A69)&lt;=2020,"",J69+INDEX($J:$J,ROW()-MONTH($A69))-INDEX($J:$J,ROW()-12))</x:f>
        <x:v>151107</x:v>
      </x:c>
      <x:c r="F69" s="162" t="n">
        <x:f>IF(OR(G69="",H69=""),"",G69-H69)</x:f>
        <x:v>36183</x:v>
      </x:c>
      <x:c r="G69" s="162" t="n">
        <x:f>IF(YEAR($A69)&lt;=2020,"",K69+INDEX($K:$K,ROW()-MONTH($A69))-INDEX($K:$K,ROW()-12))</x:f>
        <x:v>60359</x:v>
      </x:c>
      <x:c r="H69" s="162" t="n">
        <x:f>IF(YEAR($A69)&lt;=2020,"",L69+INDEX($L:$L,ROW()-MONTH($A69))-INDEX($L:$L,ROW()-12))</x:f>
        <x:v>24176</x:v>
      </x:c>
      <x:c r="I69" s="163" t="n">
        <x:f>'02_收支口径脉冲'!I69</x:f>
        <x:v>1370547.3333333335</x:v>
      </x:c>
      <x:c r="J69" s="163" t="n">
        <x:f>IFERROR(INDEX(Sheet4!$B$5:$B$500,MATCH($A69,Sheet4!$A$5:$A$500,0)),"")</x:f>
        <x:v>63052</x:v>
      </x:c>
      <x:c r="K69" s="163" t="n">
        <x:f>IFERROR(INDEX(Sheet4!$G$5:$G$500,MATCH($A69,Sheet4!$A$5:$A$500,0)),"")</x:f>
        <x:v>23302</x:v>
      </x:c>
      <x:c r="L69" s="163" t="n">
        <x:f>IFERROR(INDEX(Sheet1!$L$5:$L$500,MATCH($A69,Sheet1!$A$5:$A$500,0)),"")</x:f>
        <x:v>6044</x:v>
      </x:c>
    </x:row>
    <x:row r="70">
      <x:c r="A70" s="107" t="n">
        <x:v>45838</x:v>
      </x:c>
      <x:c r="B70" s="164" t="n">
        <x:f>'02_收支口径脉冲'!E70</x:f>
        <x:v>8.764219071144943</x:v>
      </x:c>
      <x:c r="C70" s="161" t="n">
        <x:f>IF(OR($A70&lt;DATE(2022,2,1),D70="",I70=""),"",D70/I70*100)</x:f>
        <x:v>8.56273775462963</x:v>
      </x:c>
      <x:c r="D70" s="162" t="n">
        <x:f>IF(OR(E70="",F70=""),"",E70-F70)</x:f>
        <x:v>117722</x:v>
      </x:c>
      <x:c r="E70" s="162" t="n">
        <x:f>IF(YEAR($A70)&lt;=2020,"",J70+INDEX($J:$J,ROW()-MONTH($A70))-INDEX($J:$J,ROW()-12))</x:f>
        <x:v>156125</x:v>
      </x:c>
      <x:c r="F70" s="162" t="n">
        <x:f>IF(OR(G70="",H70=""),"",G70-H70)</x:f>
        <x:v>38403</x:v>
      </x:c>
      <x:c r="G70" s="162" t="n">
        <x:f>IF(YEAR($A70)&lt;=2020,"",K70+INDEX($K:$K,ROW()-MONTH($A70))-INDEX($K:$K,ROW()-12))</x:f>
        <x:v>62849</x:v>
      </x:c>
      <x:c r="H70" s="162" t="n">
        <x:f>IF(YEAR($A70)&lt;=2020,"",L70+INDEX($L:$L,ROW()-MONTH($A70))-INDEX($L:$L,ROW()-12))</x:f>
        <x:v>24446</x:v>
      </x:c>
      <x:c r="I70" s="163" t="n">
        <x:f>'02_收支口径脉冲'!I70</x:f>
        <x:v>1374817.3</x:v>
      </x:c>
      <x:c r="J70" s="163" t="n">
        <x:f>IFERROR(INDEX(Sheet4!$B$5:$B$500,MATCH($A70,Sheet4!$A$5:$A$500,0)),"")</x:f>
        <x:v>76560</x:v>
      </x:c>
      <x:c r="K70" s="163" t="n">
        <x:f>IFERROR(INDEX(Sheet4!$G$5:$G$500,MATCH($A70,Sheet4!$A$5:$A$500,0)),"")</x:f>
        <x:v>28775</x:v>
      </x:c>
      <x:c r="L70" s="163" t="n">
        <x:f>IFERROR(INDEX(Sheet1!$L$5:$L$500,MATCH($A70,Sheet1!$A$5:$A$500,0)),"")</x:f>
        <x:v>10769</x:v>
      </x:c>
    </x:row>
    <x:row r="71">
      <x:c r="A71" s="107" t="n">
        <x:v>45869</x:v>
      </x:c>
      <x:c r="B71" s="164" t="n">
        <x:f>'02_收支口径脉冲'!E71</x:f>
        <x:v>8.892138818769572</x:v>
      </x:c>
      <x:c r="C71" s="161" t="n">
        <x:f>IF(OR($A71&lt;DATE(2022,2,1),D71="",I71=""),"",D71/I71*100)</x:f>
        <x:v>8.767994340277777</x:v>
      </x:c>
      <x:c r="D71" s="162" t="n">
        <x:f>IF(OR(E71="",F71=""),"",E71-F71)</x:f>
        <x:v>120914</x:v>
      </x:c>
      <x:c r="E71" s="162" t="n">
        <x:f>IF(YEAR($A71)&lt;=2020,"",J71+INDEX($J:$J,ROW()-MONTH($A71))-INDEX($J:$J,ROW()-12))</x:f>
        <x:v>161697</x:v>
      </x:c>
      <x:c r="F71" s="162" t="n">
        <x:f>IF(OR(G71="",H71=""),"",G71-H71)</x:f>
        <x:v>40783</x:v>
      </x:c>
      <x:c r="G71" s="162" t="n">
        <x:f>IF(YEAR($A71)&lt;=2020,"",K71+INDEX($K:$K,ROW()-MONTH($A71))-INDEX($K:$K,ROW()-12))</x:f>
        <x:v>64043</x:v>
      </x:c>
      <x:c r="H71" s="162" t="n">
        <x:f>IF(YEAR($A71)&lt;=2020,"",L71+INDEX($L:$L,ROW()-MONTH($A71))-INDEX($L:$L,ROW()-12))</x:f>
        <x:v>23260</x:v>
      </x:c>
      <x:c r="I71" s="163" t="n">
        <x:f>'02_收支口径脉冲'!I71</x:f>
        <x:v>1379038.3</x:v>
      </x:c>
      <x:c r="J71" s="163" t="n">
        <x:f>IFERROR(INDEX(Sheet4!$B$5:$B$500,MATCH($A71,Sheet4!$A$5:$A$500,0)),"")</x:f>
        <x:v>89042</x:v>
      </x:c>
      <x:c r="K71" s="163" t="n">
        <x:f>IFERROR(INDEX(Sheet4!$G$5:$G$500,MATCH($A71,Sheet4!$A$5:$A$500,0)),"")</x:f>
        <x:v>33877</x:v>
      </x:c>
      <x:c r="L71" s="163" t="n">
        <x:f>IFERROR(INDEX(Sheet1!$L$5:$L$500,MATCH($A71,Sheet1!$A$5:$A$500,0)),"")</x:f>
        <x:v>14780</x:v>
      </x:c>
    </x:row>
    <x:row r="72">
      <x:c r="A72" s="107" t="n">
        <x:v>45900</x:v>
      </x:c>
      <x:c r="B72" s="164" t="n">
        <x:f>'02_收支口径脉冲'!E72</x:f>
        <x:v>8.971925943313739</x:v>
      </x:c>
      <x:c r="C72" s="161" t="n">
        <x:f>IF(OR($A72&lt;DATE(2022,2,1),D72="",I72=""),"",D72/I72*100)</x:f>
        <x:v>8.544168113425926</x:v>
      </x:c>
      <x:c r="D72" s="162" t="n">
        <x:f>IF(OR(E72="",F72=""),"",E72-F72)</x:f>
        <x:v>118188</x:v>
      </x:c>
      <x:c r="E72" s="162" t="n">
        <x:f>IF(YEAR($A72)&lt;=2020,"",J72+INDEX($J:$J,ROW()-MONTH($A72))-INDEX($J:$J,ROW()-12))</x:f>
        <x:v>159269</x:v>
      </x:c>
      <x:c r="F72" s="162" t="n">
        <x:f>IF(OR(G72="",H72=""),"",G72-H72)</x:f>
        <x:v>41081</x:v>
      </x:c>
      <x:c r="G72" s="162" t="n">
        <x:f>IF(YEAR($A72)&lt;=2020,"",K72+INDEX($K:$K,ROW()-MONTH($A72))-INDEX($K:$K,ROW()-12))</x:f>
        <x:v>65512</x:v>
      </x:c>
      <x:c r="H72" s="162" t="n">
        <x:f>IF(YEAR($A72)&lt;=2020,"",L72+INDEX($L:$L,ROW()-MONTH($A72))-INDEX($L:$L,ROW()-12))</x:f>
        <x:v>24431</x:v>
      </x:c>
      <x:c r="I72" s="163" t="n">
        <x:f>'02_收支口径脉冲'!I72</x:f>
        <x:v>1383259.2999999998</x:v>
      </x:c>
      <x:c r="J72" s="163" t="n">
        <x:f>IFERROR(INDEX(Sheet4!$B$5:$B$500,MATCH($A72,Sheet4!$A$5:$A$500,0)),"")</x:f>
        <x:v>102714</x:v>
      </x:c>
      <x:c r="K72" s="163" t="n">
        <x:f>IFERROR(INDEX(Sheet4!$G$5:$G$500,MATCH($A72,Sheet4!$A$5:$A$500,0)),"")</x:f>
        <x:v>37964</x:v>
      </x:c>
      <x:c r="L72" s="163" t="n">
        <x:f>IFERROR(INDEX(Sheet1!$L$5:$L$500,MATCH($A72,Sheet1!$A$5:$A$500,0)),"")</x:f>
        <x:v>19755</x:v>
      </x:c>
    </x:row>
    <x:row r="73">
      <x:c r="A73" s="107" t="n">
        <x:v>45930</x:v>
      </x:c>
      <x:c r="B73" s="164" t="n">
        <x:f>'02_收支口径脉冲'!E73</x:f>
        <x:v>8.964884041957209</x:v>
      </x:c>
      <x:c r="C73" s="161" t="n">
        <x:f>IF(OR($A73&lt;DATE(2022,2,1),D73="",I73=""),"",D73/I73*100)</x:f>
        <x:v>8.26260380787037</x:v>
      </x:c>
      <x:c r="D73" s="162" t="n">
        <x:f>IF(OR(E73="",F73=""),"",E73-F73)</x:f>
        <x:v>114642</x:v>
      </x:c>
      <x:c r="E73" s="162" t="n">
        <x:f>IF(YEAR($A73)&lt;=2020,"",J73+INDEX($J:$J,ROW()-MONTH($A73))-INDEX($J:$J,ROW()-12))</x:f>
        <x:v>155757</x:v>
      </x:c>
      <x:c r="F73" s="162" t="n">
        <x:f>IF(OR(G73="",H73=""),"",G73-H73)</x:f>
        <x:v>41115</x:v>
      </x:c>
      <x:c r="G73" s="162" t="n">
        <x:f>IF(YEAR($A73)&lt;=2020,"",K73+INDEX($K:$K,ROW()-MONTH($A73))-INDEX($K:$K,ROW()-12))</x:f>
        <x:v>67867</x:v>
      </x:c>
      <x:c r="H73" s="162" t="n">
        <x:f>IF(YEAR($A73)&lt;=2020,"",L73+INDEX($L:$L,ROW()-MONTH($A73))-INDEX($L:$L,ROW()-12))</x:f>
        <x:v>26752</x:v>
      </x:c>
      <x:c r="I73" s="163" t="n">
        <x:f>'02_收支口径脉冲'!I73</x:f>
        <x:v>1387480.2999999998</x:v>
      </x:c>
      <x:c r="J73" s="163" t="n">
        <x:f>IFERROR(INDEX(Sheet4!$B$5:$B$500,MATCH($A73,Sheet4!$A$5:$A$500,0)),"")</x:f>
        <x:v>114607</x:v>
      </x:c>
      <x:c r="K73" s="163" t="n">
        <x:f>IFERROR(INDEX(Sheet4!$G$5:$G$500,MATCH($A73,Sheet4!$A$5:$A$500,0)),"")</x:f>
        <x:v>41842</x:v>
      </x:c>
      <x:c r="L73" s="163" t="n">
        <x:f>IFERROR(INDEX(Sheet1!$L$5:$L$500,MATCH($A73,Sheet1!$A$5:$A$500,0)),"")</x:f>
        <x:v>23863</x:v>
      </x:c>
    </x:row>
    <x:row r="74">
      <x:c r="A74" s="107" t="n">
        <x:v>45961</x:v>
      </x:c>
      <x:c r="B74" s="164" t="n">
        <x:f>'02_收支口径脉冲'!E74</x:f>
        <x:v>8.541601236418021</x:v>
      </x:c>
      <x:c r="C74" s="161" t="n">
        <x:f>IF(OR($A74&lt;DATE(2022,2,1),D74="",I74=""),"",D74/I74*100)</x:f>
        <x:v>8.000618078703704</x:v>
      </x:c>
      <x:c r="D74" s="162" t="n">
        <x:f>IF(OR(E74="",F74=""),"",E74-F74)</x:f>
        <x:v>111391</x:v>
      </x:c>
      <x:c r="E74" s="162" t="n">
        <x:f>IF(YEAR($A74)&lt;=2020,"",J74+INDEX($J:$J,ROW()-MONTH($A74))-INDEX($J:$J,ROW()-12))</x:f>
        <x:v>150114</x:v>
      </x:c>
      <x:c r="F74" s="162" t="n">
        <x:f>IF(OR(G74="",H74=""),"",G74-H74)</x:f>
        <x:v>38723</x:v>
      </x:c>
      <x:c r="G74" s="162" t="n">
        <x:f>IF(YEAR($A74)&lt;=2020,"",K74+INDEX($K:$K,ROW()-MONTH($A74))-INDEX($K:$K,ROW()-12))</x:f>
        <x:v>66941</x:v>
      </x:c>
      <x:c r="H74" s="162" t="n">
        <x:f>IF(YEAR($A74)&lt;=2020,"",L74+INDEX($L:$L,ROW()-MONTH($A74))-INDEX($L:$L,ROW()-12))</x:f>
        <x:v>28218</x:v>
      </x:c>
      <x:c r="I74" s="163" t="n">
        <x:f>'02_收支口径脉冲'!I74</x:f>
        <x:v>1392279.9333333333</x:v>
      </x:c>
      <x:c r="J74" s="163" t="n">
        <x:f>IFERROR(INDEX(Sheet4!$B$5:$B$500,MATCH($A74,Sheet4!$A$5:$A$500,0)),"")</x:f>
        <x:v>119459</x:v>
      </x:c>
      <x:c r="K74" s="163" t="n">
        <x:f>IFERROR(INDEX(Sheet4!$G$5:$G$500,MATCH($A74,Sheet4!$A$5:$A$500,0)),"")</x:f>
        <x:v>44391</x:v>
      </x:c>
      <x:c r="L74" s="163" t="n">
        <x:f>IFERROR(INDEX(Sheet1!$L$5:$L$500,MATCH($A74,Sheet1!$A$5:$A$500,0)),"")</x:f>
        <x:v>26432</x:v>
      </x:c>
    </x:row>
    <x:row r="75">
      <x:c r="A75" s="107" t="n">
        <x:v>45991</x:v>
      </x:c>
      <x:c r="B75" s="164" t="n">
        <x:f>'02_收支口径脉冲'!E75</x:f>
        <x:v>8.549047802980061</x:v>
      </x:c>
      <x:c r="C75" s="161" t="n">
        <x:f>IF(OR($A75&lt;DATE(2022,2,1),D75="",I75=""),"",D75/I75*100)</x:f>
        <x:v>8.588558796296295</x:v>
      </x:c>
      <x:c r="D75" s="162" t="n">
        <x:f>IF(OR(E75="",F75=""),"",E75-F75)</x:f>
        <x:v>119989</x:v>
      </x:c>
      <x:c r="E75" s="162" t="n">
        <x:f>IF(YEAR($A75)&lt;=2020,"",J75+INDEX($J:$J,ROW()-MONTH($A75))-INDEX($J:$J,ROW()-12))</x:f>
        <x:v>149102</x:v>
      </x:c>
      <x:c r="F75" s="162" t="n">
        <x:f>IF(OR(G75="",H75=""),"",G75-H75)</x:f>
        <x:v>29113</x:v>
      </x:c>
      <x:c r="G75" s="162" t="n">
        <x:f>IF(YEAR($A75)&lt;=2020,"",K75+INDEX($K:$K,ROW()-MONTH($A75))-INDEX($K:$K,ROW()-12))</x:f>
        <x:v>58639</x:v>
      </x:c>
      <x:c r="H75" s="162" t="n">
        <x:f>IF(YEAR($A75)&lt;=2020,"",L75+INDEX($L:$L,ROW()-MONTH($A75))-INDEX($L:$L,ROW()-12))</x:f>
        <x:v>29526</x:v>
      </x:c>
      <x:c r="I75" s="163" t="n">
        <x:f>'02_收支口径脉冲'!I75</x:f>
        <x:v>1397079.5666666667</x:v>
      </x:c>
      <x:c r="J75" s="163" t="n">
        <x:f>IFERROR(INDEX(Sheet4!$B$5:$B$500,MATCH($A75,Sheet4!$A$5:$A$500,0)),"")</x:f>
        <x:v>131536</x:v>
      </x:c>
      <x:c r="K75" s="163" t="n">
        <x:f>IFERROR(INDEX(Sheet4!$G$5:$G$500,MATCH($A75,Sheet4!$A$5:$A$500,0)),"")</x:f>
        <x:v>48179</x:v>
      </x:c>
      <x:c r="L75" s="163" t="n">
        <x:f>IFERROR(INDEX(Sheet1!$L$5:$L$500,MATCH($A75,Sheet1!$A$5:$A$500,0)),"")</x:f>
        <x:v>29068</x:v>
      </x:c>
    </x:row>
    <x:row r="76">
      <x:c r="A76" s="107" t="n">
        <x:v>46022</x:v>
      </x:c>
      <x:c r="B76" s="164" t="n">
        <x:f>'02_收支口径脉冲'!E76</x:f>
        <x:v>9.02502869006117</x:v>
      </x:c>
      <x:c r="C76" s="161" t="n">
        <x:f>IF(OR($A76&lt;DATE(2022,2,1),D76="",I76=""),"",D76/I76*100)</x:f>
        <x:v>8.51271636574074</x:v>
      </x:c>
      <x:c r="D76" s="162" t="n">
        <x:f>IF(OR(E76="",F76=""),"",E76-F76)</x:f>
        <x:v>119338</x:v>
      </x:c>
      <x:c r="E76" s="162" t="n">
        <x:f>IF(YEAR($A76)&lt;=2020,"",J76+INDEX($J:$J,ROW()-MONTH($A76))-INDEX($J:$J,ROW()-12))</x:f>
        <x:v>138368</x:v>
      </x:c>
      <x:c r="F76" s="162" t="n">
        <x:f>IF(OR(G76="",H76=""),"",G76-H76)</x:f>
        <x:v>19030</x:v>
      </x:c>
      <x:c r="G76" s="162" t="n">
        <x:f>IF(YEAR($A76)&lt;=2020,"",K76+INDEX($K:$K,ROW()-MONTH($A76))-INDEX($K:$K,ROW()-12))</x:f>
        <x:v>49284</x:v>
      </x:c>
      <x:c r="H76" s="162" t="n">
        <x:f>IF(YEAR($A76)&lt;=2020,"",L76+INDEX($L:$L,ROW()-MONTH($A76))-INDEX($L:$L,ROW()-12))</x:f>
        <x:v>30254</x:v>
      </x:c>
      <x:c r="I76" s="163" t="n">
        <x:f>'02_收支口径脉冲'!I76</x:f>
        <x:v>1401879.2</x:v>
      </x:c>
      <x:c r="J76" s="163" t="n">
        <x:f>IFERROR(INDEX(Sheet4!$B$5:$B$500,MATCH($A76,Sheet4!$A$5:$A$500,0)),"")</x:f>
        <x:v>138368</x:v>
      </x:c>
      <x:c r="K76" s="163" t="n">
        <x:f>IFERROR(INDEX(Sheet4!$G$5:$G$500,MATCH($A76,Sheet4!$A$5:$A$500,0)),"")</x:f>
        <x:v>49284</x:v>
      </x:c>
      <x:c r="L76" s="163" t="n">
        <x:f>IFERROR(INDEX(Sheet1!$L$5:$L$500,MATCH($A76,Sheet1!$A$5:$A$500,0)),"")</x:f>
        <x:v>30254</x:v>
      </x:c>
    </x:row>
    <x:row r="77">
      <x:c r="A77" s="107" t="n">
        <x:v>46053</x:v>
      </x:c>
      <x:c r="B77" s="164" t="str">
        <x:f>'02_收支口径脉冲'!E77</x:f>
      </x:c>
      <x:c r="C77" s="161" t="n">
        <x:f>IF(OR($A77&lt;DATE(2022,2,1),D77="",I77=""),"",D77/I77*100)</x:f>
        <x:v>8.571968483796296</x:v>
      </x:c>
      <x:c r="D77" s="162" t="n">
        <x:f>IF(OR(E77="",F77=""),"",E77-F77)</x:f>
        <x:v>120618</x:v>
      </x:c>
      <x:c r="E77" s="162" t="n">
        <x:f>IF(YEAR($A77)&lt;=2020,"",J77+INDEX($J:$J,ROW()-MONTH($A77))-INDEX($J:$J,ROW()-12))</x:f>
        <x:v>141199</x:v>
      </x:c>
      <x:c r="F77" s="162" t="n">
        <x:f>IF(OR(G77="",H77=""),"",G77-H77)</x:f>
        <x:v>20581</x:v>
      </x:c>
      <x:c r="G77" s="162" t="n">
        <x:f>IF(YEAR($A77)&lt;=2020,"",K77+INDEX($K:$K,ROW()-MONTH($A77))-INDEX($K:$K,ROW()-12))</x:f>
        <x:v>51111</x:v>
      </x:c>
      <x:c r="H77" s="162" t="n">
        <x:f>IF(YEAR($A77)&lt;=2020,"",L77+INDEX($L:$L,ROW()-MONTH($A77))-INDEX($L:$L,ROW()-12))</x:f>
        <x:v>30530</x:v>
      </x:c>
      <x:c r="I77" s="163" t="n">
        <x:f>'02_收支口径脉冲'!I77</x:f>
        <x:v>1407121.3666666667</x:v>
      </x:c>
      <x:c r="J77" s="163" t="n">
        <x:f>IFERROR(INDEX(Sheet4!$B$5:$B$500,MATCH($A77,Sheet4!$A$5:$A$500,0)),"")</x:f>
        <x:v>9764</x:v>
      </x:c>
      <x:c r="K77" s="163" t="n">
        <x:f>IFERROR(INDEX(Sheet4!$G$5:$G$500,MATCH($A77,Sheet4!$A$5:$A$500,0)),"")</x:f>
        <x:v>4349</x:v>
      </x:c>
      <x:c r="L77" s="163" t="n">
        <x:f>IFERROR(INDEX(Sheet1!$L$5:$L$500,MATCH($A77,Sheet1!$A$5:$A$500,0)),"")</x:f>
        <x:v>1091</x:v>
      </x:c>
    </x:row>
    <x:row r="78">
      <x:c r="A78" s="107" t="n">
        <x:v>46081</x:v>
      </x:c>
      <x:c r="B78" s="164" t="n">
        <x:f>'02_收支口径脉冲'!E78</x:f>
        <x:v>9.251584094047931</x:v>
      </x:c>
      <x:c r="C78" s="161" t="n">
        <x:f>IF(OR($A78&lt;DATE(2022,2,1),D78="",I78=""),"",D78/I78*100)</x:f>
        <x:v>8.592263761574074</x:v>
      </x:c>
      <x:c r="D78" s="162" t="n">
        <x:f>IF(OR(E78="",F78=""),"",E78-F78)</x:f>
        <x:v>121354</x:v>
      </x:c>
      <x:c r="E78" s="162" t="n">
        <x:f>IF(YEAR($A78)&lt;=2020,"",J78+INDEX($J:$J,ROW()-MONTH($A78))-INDEX($J:$J,ROW()-12))</x:f>
        <x:v>138274</x:v>
      </x:c>
      <x:c r="F78" s="162" t="n">
        <x:f>IF(OR(G78="",H78=""),"",G78-H78)</x:f>
        <x:v>16920</x:v>
      </x:c>
      <x:c r="G78" s="162" t="n">
        <x:f>IF(YEAR($A78)&lt;=2020,"",K78+INDEX($K:$K,ROW()-MONTH($A78))-INDEX($K:$K,ROW()-12))</x:f>
        <x:v>48540</x:v>
      </x:c>
      <x:c r="H78" s="162" t="n">
        <x:f>IF(YEAR($A78)&lt;=2020,"",L78+INDEX($L:$L,ROW()-MONTH($A78))-INDEX($L:$L,ROW()-12))</x:f>
        <x:v>31620</x:v>
      </x:c>
      <x:c r="I78" s="163" t="n">
        <x:f>'02_收支口径脉冲'!I78</x:f>
        <x:v>1412363.5333333332</x:v>
      </x:c>
      <x:c r="J78" s="163" t="n">
        <x:f>IFERROR(INDEX(Sheet4!$B$5:$B$500,MATCH($A78,Sheet4!$A$5:$A$500,0)),"")</x:f>
        <x:v>23778</x:v>
      </x:c>
      <x:c r="K78" s="163" t="n">
        <x:f>IFERROR(INDEX(Sheet4!$G$5:$G$500,MATCH($A78,Sheet4!$A$5:$A$500,0)),"")</x:f>
        <x:v>9870</x:v>
      </x:c>
      <x:c r="L78" s="163" t="n">
        <x:f>IFERROR(INDEX(Sheet1!$L$5:$L$500,MATCH($A78,Sheet1!$A$5:$A$500,0)),"")</x:f>
        <x:v>2511</x:v>
      </x:c>
    </x:row>
    <x:row r="79">
      <x:c r="A79" s="107" t="n">
        <x:v>46112</x:v>
      </x:c>
      <x:c r="B79" s="164" t="n">
        <x:f>'02_收支口径脉冲'!E79</x:f>
        <x:v>9.10697523295794</x:v>
      </x:c>
      <x:c r="C79" s="161" t="n">
        <x:f>IF(OR($A79&lt;DATE(2022,2,1),D79="",I79=""),"",D79/I79*100)</x:f>
        <x:v>8.44825892361111</x:v>
      </x:c>
      <x:c r="D79" s="162" t="n">
        <x:f>IF(OR(E79="",F79=""),"",E79-F79)</x:f>
        <x:v>119763</x:v>
      </x:c>
      <x:c r="E79" s="162" t="n">
        <x:f>IF(YEAR($A79)&lt;=2020,"",J79+INDEX($J:$J,ROW()-MONTH($A79))-INDEX($J:$J,ROW()-12))</x:f>
        <x:v>135065</x:v>
      </x:c>
      <x:c r="F79" s="162" t="n">
        <x:f>IF(OR(G79="",H79=""),"",G79-H79)</x:f>
        <x:v>15302</x:v>
      </x:c>
      <x:c r="G79" s="162" t="n">
        <x:f>IF(YEAR($A79)&lt;=2020,"",K79+INDEX($K:$K,ROW()-MONTH($A79))-INDEX($K:$K,ROW()-12))</x:f>
        <x:v>50117</x:v>
      </x:c>
      <x:c r="H79" s="162" t="n">
        <x:f>IF(YEAR($A79)&lt;=2020,"",L79+INDEX($L:$L,ROW()-MONTH($A79))-INDEX($L:$L,ROW()-12))</x:f>
        <x:v>34815</x:v>
      </x:c>
      <x:c r="I79" s="163" t="n">
        <x:f>'02_收支口径脉冲'!I79</x:f>
        <x:v>1417605.6999999997</x:v>
      </x:c>
      <x:c r="J79" s="163" t="n">
        <x:f>IFERROR(INDEX(Sheet4!$B$5:$B$500,MATCH($A79,Sheet4!$A$5:$A$500,0)),"")</x:f>
        <x:v>35435</x:v>
      </x:c>
      <x:c r="K79" s="163" t="n">
        <x:f>IFERROR(INDEX(Sheet4!$G$5:$G$500,MATCH($A79,Sheet4!$A$5:$A$500,0)),"")</x:f>
        <x:v>16860</x:v>
      </x:c>
      <x:c r="L79" s="163" t="n">
        <x:f>IFERROR(INDEX(Sheet1!$L$5:$L$500,MATCH($A79,Sheet1!$A$5:$A$500,0)),"")</x:f>
        <x:v>6702</x:v>
      </x:c>
    </x:row>
    <x:row r="80">
      <x:c r="A80" s="107" t="n">
        <x:v>46142</x:v>
      </x:c>
      <x:c r="B80" s="164" t="n">
        <x:f>'02_收支口径脉冲'!E80</x:f>
        <x:v>8.89082531579188</x:v>
      </x:c>
      <x:c r="C80" s="161" t="n">
        <x:f>IF(OR($A80&lt;DATE(2022,2,1),D80="",I80=""),"",D80/I80*100)</x:f>
        <x:v>8.464233090277778</x:v>
      </x:c>
      <x:c r="D80" s="162" t="n">
        <x:f>IF(OR(E80="",F80=""),"",E80-F80)</x:f>
        <x:v>120557</x:v>
      </x:c>
      <x:c r="E80" s="162" t="n">
        <x:f>IF(YEAR($A80)&lt;=2020,"",J80+INDEX($J:$J,ROW()-MONTH($A80))-INDEX($J:$J,ROW()-12))</x:f>
        <x:v>134377</x:v>
      </x:c>
      <x:c r="F80" s="162" t="n">
        <x:f>IF(OR(G80="",H80=""),"",G80-H80)</x:f>
        <x:v>13820</x:v>
      </x:c>
      <x:c r="G80" s="162" t="n">
        <x:f>IF(YEAR($A80)&lt;=2020,"",K80+INDEX($K:$K,ROW()-MONTH($A80))-INDEX($K:$K,ROW()-12))</x:f>
        <x:v>51544</x:v>
      </x:c>
      <x:c r="H80" s="162" t="n">
        <x:f>IF(YEAR($A80)&lt;=2020,"",L80+INDEX($L:$L,ROW()-MONTH($A80))-INDEX($L:$L,ROW()-12))</x:f>
        <x:v>37724</x:v>
      </x:c>
      <x:c r="I80" s="163" t="n">
        <x:f>'02_收支口径脉冲'!I80</x:f>
        <x:v>1424310.9666666663</x:v>
      </x:c>
      <x:c r="J80" s="163" t="n">
        <x:f>IFERROR(INDEX(Sheet4!$B$5:$B$500,MATCH($A80,Sheet4!$A$5:$A$500,0)),"")</x:f>
        <x:v>44476</x:v>
      </x:c>
      <x:c r="K80" s="163" t="n">
        <x:f>IFERROR(INDEX(Sheet4!$G$5:$G$500,MATCH($A80,Sheet4!$A$5:$A$500,0)),"")</x:f>
        <x:v>22687</x:v>
      </x:c>
      <x:c r="L80" s="163" t="n">
        <x:f>IFERROR(INDEX(Sheet1!$L$5:$L$500,MATCH($A80,Sheet1!$A$5:$A$500,0)),"")</x:f>
        <x:v>11263</x:v>
      </x:c>
    </x:row>
    <x:row r="81">
      <x:c r="A81" s="107" t="n">
        <x:v>46173</x:v>
      </x:c>
      <x:c r="B81" s="164" t="n">
        <x:f>'02_收支口径脉冲'!E81</x:f>
        <x:v>8.747350105765166</x:v>
      </x:c>
      <x:c r="C81" s="161" t="n">
        <x:f>IF(OR($A81&lt;DATE(2022,2,1),D81="",I81=""),"",D81/I81*100)</x:f>
        <x:v>8.06280162037037</x:v>
      </x:c>
      <x:c r="D81" s="162" t="n">
        <x:f>IF(OR(E81="",F81=""),"",E81-F81)</x:f>
        <x:v>115380</x:v>
      </x:c>
      <x:c r="E81" s="162" t="n">
        <x:f>IF(YEAR($A81)&lt;=2020,"",J81+INDEX($J:$J,ROW()-MONTH($A81))-INDEX($J:$J,ROW()-12))</x:f>
        <x:v>132028</x:v>
      </x:c>
      <x:c r="F81" s="162" t="n">
        <x:f>IF(OR(G81="",H81=""),"",G81-H81)</x:f>
        <x:v>16648</x:v>
      </x:c>
      <x:c r="G81" s="162" t="n">
        <x:f>IF(YEAR($A81)&lt;=2020,"",K81+INDEX($K:$K,ROW()-MONTH($A81))-INDEX($K:$K,ROW()-12))</x:f>
        <x:v>54854</x:v>
      </x:c>
      <x:c r="H81" s="162" t="n">
        <x:f>IF(YEAR($A81)&lt;=2020,"",L81+INDEX($L:$L,ROW()-MONTH($A81))-INDEX($L:$L,ROW()-12))</x:f>
        <x:v>38206</x:v>
      </x:c>
      <x:c r="I81" s="163" t="n">
        <x:f>'02_收支口径脉冲'!I81</x:f>
        <x:v>1431016.2333333332</x:v>
      </x:c>
      <x:c r="J81" s="163" t="n">
        <x:f>IFERROR(INDEX(Sheet4!$B$5:$B$500,MATCH($A81,Sheet4!$A$5:$A$500,0)),"")</x:f>
        <x:v>56712</x:v>
      </x:c>
      <x:c r="K81" s="163" t="n">
        <x:f>IFERROR(INDEX(Sheet4!$G$5:$G$500,MATCH($A81,Sheet4!$A$5:$A$500,0)),"")</x:f>
        <x:v>28872</x:v>
      </x:c>
      <x:c r="L81" s="163" t="n">
        <x:f>IFERROR(INDEX(Sheet1!$L$5:$L$500,MATCH($A81,Sheet1!$A$5:$A$500,0)),"")</x:f>
        <x:v>13996</x:v>
      </x:c>
    </x:row>
    <x:row r="82">
      <x:c r="A82" s="107" t="n">
        <x:v>46203</x:v>
      </x:c>
      <x:c r="B82" s="164" t="n">
        <x:f>'02_收支口径脉冲'!E82</x:f>
        <x:v>8.327551615524984</x:v>
      </x:c>
      <x:c r="C82" s="161" t="n">
        <x:f>IF(OR($A82&lt;DATE(2022,2,1),D82="",I82=""),"",D82/I82*100)</x:f>
        <x:v>7.663514814814815</x:v>
      </x:c>
      <x:c r="D82" s="162" t="n">
        <x:f>IF(OR(E82="",F82=""),"",E82-F82)</x:f>
        <x:v>110180</x:v>
      </x:c>
      <x:c r="E82" s="162" t="n">
        <x:f>IF(YEAR($A82)&lt;=2020,"",J82+INDEX($J:$J,ROW()-MONTH($A82))-INDEX($J:$J,ROW()-12))</x:f>
        <x:v>126203</x:v>
      </x:c>
      <x:c r="F82" s="162" t="n">
        <x:f>IF(OR(G82="",H82=""),"",G82-H82)</x:f>
        <x:v>16023</x:v>
      </x:c>
      <x:c r="G82" s="162" t="n">
        <x:f>IF(YEAR($A82)&lt;=2020,"",K82+INDEX($K:$K,ROW()-MONTH($A82))-INDEX($K:$K,ROW()-12))</x:f>
        <x:v>54740</x:v>
      </x:c>
      <x:c r="H82" s="162" t="n">
        <x:f>IF(YEAR($A82)&lt;=2020,"",L82+INDEX($L:$L,ROW()-MONTH($A82))-INDEX($L:$L,ROW()-12))</x:f>
        <x:v>38717</x:v>
      </x:c>
      <x:c r="I82" s="163" t="n">
        <x:f>'02_收支口径脉冲'!I82</x:f>
        <x:v>1437721.4999999998</x:v>
      </x:c>
      <x:c r="J82" s="163" t="n">
        <x:f>IFERROR(INDEX(Sheet4!$B$5:$B$500,MATCH($A82,Sheet4!$A$5:$A$500,0)),"")</x:f>
        <x:v>64395</x:v>
      </x:c>
      <x:c r="K82" s="163" t="n">
        <x:f>IFERROR(INDEX(Sheet4!$G$5:$G$500,MATCH($A82,Sheet4!$A$5:$A$500,0)),"")</x:f>
        <x:v>34231</x:v>
      </x:c>
      <x:c r="L82" s="163" t="n">
        <x:f>IFERROR(INDEX(Sheet1!$L$5:$L$500,MATCH($A82,Sheet1!$A$5:$A$500,0)),"")</x:f>
        <x:v>19232</x:v>
      </x:c>
    </x:row>
    <x:row r="83">
      <x:c r="A83" s="107"/>
      <x:c r="B83" s="109"/>
      <x:c r="C83" s="99"/>
      <x:c r="D83" s="102"/>
      <x:c r="E83" s="102"/>
      <x:c r="F83" s="102"/>
      <x:c r="G83" s="102"/>
      <x:c r="H83" s="102"/>
      <x:c r="I83" s="101"/>
      <x:c r="J83" s="101"/>
      <x:c r="K83" s="101"/>
      <x:c r="L83" s="101"/>
    </x:row>
    <x:row r="84">
      <x:c r="A84" s="107"/>
      <x:c r="B84" s="109"/>
      <x:c r="C84" s="99"/>
      <x:c r="D84" s="102"/>
      <x:c r="E84" s="102"/>
      <x:c r="F84" s="102"/>
      <x:c r="G84" s="102"/>
      <x:c r="H84" s="102"/>
      <x:c r="I84" s="101"/>
      <x:c r="J84" s="101"/>
      <x:c r="K84" s="101"/>
      <x:c r="L84" s="101"/>
    </x:row>
    <x:row r="85">
      <x:c r="A85" s="107"/>
      <x:c r="B85" s="109"/>
      <x:c r="C85" s="99"/>
      <x:c r="D85" s="102"/>
      <x:c r="E85" s="102"/>
      <x:c r="F85" s="102"/>
      <x:c r="G85" s="102"/>
      <x:c r="H85" s="102"/>
      <x:c r="I85" s="101"/>
      <x:c r="J85" s="101"/>
      <x:c r="K85" s="101"/>
      <x:c r="L85" s="101"/>
    </x:row>
    <x:row r="86">
      <x:c r="A86" s="107"/>
      <x:c r="B86" s="109"/>
      <x:c r="C86" s="99"/>
      <x:c r="D86" s="102"/>
      <x:c r="E86" s="102"/>
      <x:c r="F86" s="102"/>
      <x:c r="G86" s="102"/>
      <x:c r="H86" s="102"/>
      <x:c r="I86" s="101"/>
      <x:c r="J86" s="101"/>
      <x:c r="K86" s="101"/>
      <x:c r="L86" s="101"/>
    </x:row>
    <x:row r="87">
      <x:c r="A87" s="107"/>
      <x:c r="B87" s="109"/>
      <x:c r="C87" s="99"/>
      <x:c r="D87" s="102"/>
      <x:c r="E87" s="102"/>
      <x:c r="F87" s="102"/>
      <x:c r="G87" s="102"/>
      <x:c r="H87" s="102"/>
      <x:c r="I87" s="101"/>
      <x:c r="J87" s="101"/>
      <x:c r="K87" s="101"/>
      <x:c r="L87" s="101"/>
    </x:row>
    <x:row r="88">
      <x:c r="A88" s="107"/>
      <x:c r="B88" s="109"/>
      <x:c r="C88" s="99"/>
      <x:c r="D88" s="102"/>
      <x:c r="E88" s="102"/>
      <x:c r="F88" s="102"/>
      <x:c r="G88" s="102"/>
      <x:c r="H88" s="102"/>
      <x:c r="I88" s="101"/>
      <x:c r="J88" s="101"/>
      <x:c r="K88" s="101"/>
      <x:c r="L88" s="101"/>
    </x:row>
    <x:row r="89">
      <x:c r="A89" s="107"/>
      <x:c r="B89" s="109"/>
      <x:c r="C89" s="99"/>
      <x:c r="D89" s="102"/>
      <x:c r="E89" s="102"/>
      <x:c r="F89" s="102"/>
      <x:c r="G89" s="102"/>
      <x:c r="H89" s="102"/>
      <x:c r="I89" s="101"/>
      <x:c r="J89" s="101"/>
      <x:c r="K89" s="101"/>
      <x:c r="L89" s="101"/>
    </x:row>
    <x:row r="90">
      <x:c r="A90" s="107"/>
      <x:c r="B90" s="109"/>
      <x:c r="C90" s="99"/>
      <x:c r="D90" s="102"/>
      <x:c r="E90" s="102"/>
      <x:c r="F90" s="102"/>
      <x:c r="G90" s="102"/>
      <x:c r="H90" s="102"/>
      <x:c r="I90" s="101"/>
      <x:c r="J90" s="101"/>
      <x:c r="K90" s="101"/>
      <x:c r="L90" s="101"/>
    </x:row>
    <x:row r="91">
      <x:c r="A91" s="107"/>
      <x:c r="B91" s="109"/>
      <x:c r="C91" s="99"/>
      <x:c r="D91" s="102"/>
      <x:c r="E91" s="102"/>
      <x:c r="F91" s="102"/>
      <x:c r="G91" s="102"/>
      <x:c r="H91" s="102"/>
      <x:c r="I91" s="101"/>
      <x:c r="J91" s="101"/>
      <x:c r="K91" s="101"/>
      <x:c r="L91" s="101"/>
    </x:row>
    <x:row r="92">
      <x:c r="A92" s="107"/>
      <x:c r="B92" s="109"/>
      <x:c r="C92" s="99"/>
      <x:c r="D92" s="102"/>
      <x:c r="E92" s="102"/>
      <x:c r="F92" s="102"/>
      <x:c r="G92" s="102"/>
      <x:c r="H92" s="102"/>
      <x:c r="I92" s="101"/>
      <x:c r="J92" s="101"/>
      <x:c r="K92" s="101"/>
      <x:c r="L92" s="101"/>
    </x:row>
    <x:row r="93">
      <x:c r="A93" s="107"/>
      <x:c r="B93" s="109"/>
      <x:c r="C93" s="99"/>
      <x:c r="D93" s="102"/>
      <x:c r="E93" s="102"/>
      <x:c r="F93" s="102"/>
      <x:c r="G93" s="102"/>
      <x:c r="H93" s="102"/>
      <x:c r="I93" s="101"/>
      <x:c r="J93" s="101"/>
      <x:c r="K93" s="101"/>
      <x:c r="L93" s="101"/>
    </x:row>
    <x:row r="94">
      <x:c r="A94" s="107"/>
      <x:c r="B94" s="109"/>
      <x:c r="C94" s="99"/>
      <x:c r="D94" s="102"/>
      <x:c r="E94" s="102"/>
      <x:c r="F94" s="102"/>
      <x:c r="G94" s="102"/>
      <x:c r="H94" s="102"/>
      <x:c r="I94" s="101"/>
      <x:c r="J94" s="101"/>
      <x:c r="K94" s="101"/>
      <x:c r="L94" s="101"/>
    </x:row>
    <x:row r="95">
      <x:c r="A95" s="107"/>
      <x:c r="B95" s="109"/>
      <x:c r="C95" s="99"/>
      <x:c r="D95" s="102"/>
      <x:c r="E95" s="102"/>
      <x:c r="F95" s="102"/>
      <x:c r="G95" s="102"/>
      <x:c r="H95" s="102"/>
      <x:c r="I95" s="101"/>
      <x:c r="J95" s="101"/>
      <x:c r="K95" s="101"/>
      <x:c r="L95" s="101"/>
    </x:row>
    <x:row r="96">
      <x:c r="A96" s="107"/>
      <x:c r="B96" s="109"/>
      <x:c r="C96" s="99"/>
      <x:c r="D96" s="102"/>
      <x:c r="E96" s="102"/>
      <x:c r="F96" s="102"/>
      <x:c r="G96" s="102"/>
      <x:c r="H96" s="102"/>
      <x:c r="I96" s="101"/>
      <x:c r="J96" s="101"/>
      <x:c r="K96" s="101"/>
      <x:c r="L96" s="101"/>
    </x:row>
    <x:row r="97">
      <x:c r="A97" s="107"/>
      <x:c r="B97" s="109"/>
      <x:c r="C97" s="99"/>
      <x:c r="D97" s="102"/>
      <x:c r="E97" s="102"/>
      <x:c r="F97" s="102"/>
      <x:c r="G97" s="102"/>
      <x:c r="H97" s="102"/>
      <x:c r="I97" s="101"/>
      <x:c r="J97" s="101"/>
      <x:c r="K97" s="101"/>
      <x:c r="L97" s="101"/>
    </x:row>
    <x:row r="98">
      <x:c r="A98" s="107"/>
      <x:c r="B98" s="109"/>
      <x:c r="C98" s="99"/>
      <x:c r="D98" s="102"/>
      <x:c r="E98" s="102"/>
      <x:c r="F98" s="102"/>
      <x:c r="G98" s="102"/>
      <x:c r="H98" s="102"/>
      <x:c r="I98" s="101"/>
      <x:c r="J98" s="101"/>
      <x:c r="K98" s="101"/>
      <x:c r="L98" s="101"/>
    </x:row>
    <x:row r="99">
      <x:c r="A99" s="107"/>
      <x:c r="B99" s="109"/>
      <x:c r="C99" s="99"/>
      <x:c r="D99" s="102"/>
      <x:c r="E99" s="102"/>
      <x:c r="F99" s="102"/>
      <x:c r="G99" s="102"/>
      <x:c r="H99" s="102"/>
      <x:c r="I99" s="101"/>
      <x:c r="J99" s="101"/>
      <x:c r="K99" s="101"/>
      <x:c r="L99" s="101"/>
    </x:row>
    <x:row r="100">
      <x:c r="A100" s="107"/>
      <x:c r="B100" s="109"/>
      <x:c r="C100" s="99"/>
      <x:c r="D100" s="102"/>
      <x:c r="E100" s="102"/>
      <x:c r="F100" s="102"/>
      <x:c r="G100" s="102"/>
      <x:c r="H100" s="102"/>
      <x:c r="I100" s="101"/>
      <x:c r="J100" s="101"/>
      <x:c r="K100" s="101"/>
      <x:c r="L100" s="101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b8875070a1754da9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4" customHeight="1">
      <x:c r="A1" s="166" t="str">
        <x:v>04 一般公共预算收支缺口的年内路径</x:v>
      </x:c>
      <x:c r="B1" s="166"/>
      <x:c r="C1" s="166"/>
      <x:c r="D1" s="166"/>
      <x:c r="E1" s="166"/>
      <x:c r="F1" s="166"/>
      <x:c r="G1"/>
    </x:row>
    <x:row r="2" ht="44" customHeight="1">
      <x:c r="A2" s="168" t="str">
        <x:v>口径：一般公共预算收支缺口 = 支出累计 − 收入累计。按2022年以来各年份比较2—12月年内路径；HTML从2月起显示，数据不可得月份留空。单位为亿元，网页坐标以万亿元显示。右侧Excel核查图只截到2026年当前可比月份，避免把后续空白误画为0。</x:v>
      </x:c>
      <x:c r="B2" s="168"/>
      <x:c r="C2" s="168"/>
      <x:c r="D2" s="168"/>
      <x:c r="E2" s="168"/>
      <x:c r="F2" s="168"/>
      <x:c r="G2"/>
    </x:row>
    <x:row r="4" ht="28" customHeight="1">
      <x:c r="A4" s="173" t="str">
        <x:v>月份</x:v>
      </x:c>
      <x:c r="B4" s="176" t="n">
        <x:v>2022</x:v>
      </x:c>
      <x:c r="C4" s="176" t="n">
        <x:v>2023</x:v>
      </x:c>
      <x:c r="D4" s="176" t="n">
        <x:v>2024</x:v>
      </x:c>
      <x:c r="E4" s="176" t="n">
        <x:v>2025</x:v>
      </x:c>
      <x:c r="F4" s="176" t="n">
        <x:v>2026</x:v>
      </x:c>
      <x:c r="G4"/>
      <x:c r="Z4"/>
    </x:row>
    <x:row r="5">
      <x:c r="A5" s="178" t="n">
        <x:v>2</x:v>
      </x:c>
      <x:c r="B5" s="177" t="n">
        <x:f>IFERROR(INDEX(Sheet1!$C$5:$C$202,MATCH(EOMONTH(DATE(B$4,$A5,1),0),Sheet1!$A$5:$A$202,0))-INDEX(Sheet1!$B$5:$B$202,MATCH(EOMONTH(DATE(B$4,$A5,1),0),Sheet1!$A$5:$A$202,0)),"")</x:f>
        <x:v>-7976</x:v>
      </x:c>
      <x:c r="C5" s="177" t="n">
        <x:f>IFERROR(INDEX(Sheet1!$C$5:$C$202,MATCH(EOMONTH(DATE(C$4,$A5,1),0),Sheet1!$A$5:$A$202,0))-INDEX(Sheet1!$B$5:$B$202,MATCH(EOMONTH(DATE(C$4,$A5,1),0),Sheet1!$A$5:$A$202,0)),"")</x:f>
        <x:v>-4744</x:v>
      </x:c>
      <x:c r="D5" s="177" t="n">
        <x:f>IFERROR(INDEX(Sheet1!$C$5:$C$202,MATCH(EOMONTH(DATE(D$4,$A5,1),0),Sheet1!$A$5:$A$202,0))-INDEX(Sheet1!$B$5:$B$202,MATCH(EOMONTH(DATE(D$4,$A5,1),0),Sheet1!$A$5:$A$202,0)),"")</x:f>
        <x:v>-961</x:v>
      </x:c>
      <x:c r="E5" s="177" t="n">
        <x:f>IFERROR(INDEX(Sheet1!$C$5:$C$202,MATCH(EOMONTH(DATE(E$4,$A5,1),0),Sheet1!$A$5:$A$202,0))-INDEX(Sheet1!$B$5:$B$202,MATCH(EOMONTH(DATE(E$4,$A5,1),0),Sheet1!$A$5:$A$202,0)),"")</x:f>
        <x:v>1240</x:v>
      </x:c>
      <x:c r="F5" s="177" t="n">
        <x:f>IFERROR(INDEX(Sheet1!$C$5:$C$202,MATCH(EOMONTH(DATE(F$4,$A5,1),0),Sheet1!$A$5:$A$202,0))-INDEX(Sheet1!$B$5:$B$202,MATCH(EOMONTH(DATE(F$4,$A5,1),0),Sheet1!$A$5:$A$202,0)),"")</x:f>
        <x:v>2552</x:v>
      </x:c>
      <x:c r="G5"/>
      <x:c r="Z5"/>
    </x:row>
    <x:row r="6">
      <x:c r="A6" s="178" t="n">
        <x:v>3</x:v>
      </x:c>
      <x:c r="B6" s="177" t="n">
        <x:f>IFERROR(INDEX(Sheet1!$C$5:$C$202,MATCH(EOMONTH(DATE(B$4,$A6,1),0),Sheet1!$A$5:$A$202,0))-INDEX(Sheet1!$B$5:$B$202,MATCH(EOMONTH(DATE(B$4,$A6,1),0),Sheet1!$A$5:$A$202,0)),"")</x:f>
        <x:v>1550</x:v>
      </x:c>
      <x:c r="C6" s="177" t="n">
        <x:f>IFERROR(INDEX(Sheet1!$C$5:$C$202,MATCH(EOMONTH(DATE(C$4,$A6,1),0),Sheet1!$A$5:$A$202,0))-INDEX(Sheet1!$B$5:$B$202,MATCH(EOMONTH(DATE(C$4,$A6,1),0),Sheet1!$A$5:$A$202,0)),"")</x:f>
        <x:v>5574</x:v>
      </x:c>
      <x:c r="D6" s="177" t="n">
        <x:f>IFERROR(INDEX(Sheet1!$C$5:$C$202,MATCH(EOMONTH(DATE(D$4,$A6,1),0),Sheet1!$A$5:$A$202,0))-INDEX(Sheet1!$B$5:$B$202,MATCH(EOMONTH(DATE(D$4,$A6,1),0),Sheet1!$A$5:$A$202,0)),"")</x:f>
        <x:v>8979</x:v>
      </x:c>
      <x:c r="E6" s="177" t="n">
        <x:f>IFERROR(INDEX(Sheet1!$C$5:$C$202,MATCH(EOMONTH(DATE(E$4,$A6,1),0),Sheet1!$A$5:$A$202,0))-INDEX(Sheet1!$B$5:$B$202,MATCH(EOMONTH(DATE(E$4,$A6,1),0),Sheet1!$A$5:$A$202,0)),"")</x:f>
        <x:v>12626</x:v>
      </x:c>
      <x:c r="F6" s="177" t="n">
        <x:f>IFERROR(INDEX(Sheet1!$C$5:$C$202,MATCH(EOMONTH(DATE(F$4,$A6,1),0),Sheet1!$A$5:$A$202,0))-INDEX(Sheet1!$B$5:$B$202,MATCH(EOMONTH(DATE(F$4,$A6,1),0),Sheet1!$A$5:$A$202,0)),"")</x:f>
        <x:v>13093</x:v>
      </x:c>
      <x:c r="G6"/>
      <x:c r="Z6"/>
    </x:row>
    <x:row r="7">
      <x:c r="A7" s="178" t="n">
        <x:v>4</x:v>
      </x:c>
      <x:c r="B7" s="177" t="n">
        <x:f>IFERROR(INDEX(Sheet1!$C$5:$C$202,MATCH(EOMONTH(DATE(B$4,$A7,1),0),Sheet1!$A$5:$A$202,0))-INDEX(Sheet1!$B$5:$B$202,MATCH(EOMONTH(DATE(B$4,$A7,1),0),Sheet1!$A$5:$A$202,0)),"")</x:f>
        <x:v>6640</x:v>
      </x:c>
      <x:c r="C7" s="177" t="n">
        <x:f>IFERROR(INDEX(Sheet1!$C$5:$C$202,MATCH(EOMONTH(DATE(C$4,$A7,1),0),Sheet1!$A$5:$A$202,0))-INDEX(Sheet1!$B$5:$B$202,MATCH(EOMONTH(DATE(C$4,$A7,1),0),Sheet1!$A$5:$A$202,0)),"")</x:f>
        <x:v>3247</x:v>
      </x:c>
      <x:c r="D7" s="177" t="n">
        <x:f>IFERROR(INDEX(Sheet1!$C$5:$C$202,MATCH(EOMONTH(DATE(D$4,$A7,1),0),Sheet1!$A$5:$A$202,0))-INDEX(Sheet1!$B$5:$B$202,MATCH(EOMONTH(DATE(D$4,$A7,1),0),Sheet1!$A$5:$A$202,0)),"")</x:f>
        <x:v>8557</x:v>
      </x:c>
      <x:c r="E7" s="177" t="n">
        <x:f>IFERROR(INDEX(Sheet1!$C$5:$C$202,MATCH(EOMONTH(DATE(E$4,$A7,1),0),Sheet1!$A$5:$A$202,0))-INDEX(Sheet1!$B$5:$B$202,MATCH(EOMONTH(DATE(E$4,$A7,1),0),Sheet1!$A$5:$A$202,0)),"")</x:f>
        <x:v>12965</x:v>
      </x:c>
      <x:c r="F7" s="177" t="n">
        <x:f>IFERROR(INDEX(Sheet1!$C$5:$C$202,MATCH(EOMONTH(DATE(F$4,$A7,1),0),Sheet1!$A$5:$A$202,0))-INDEX(Sheet1!$B$5:$B$202,MATCH(EOMONTH(DATE(F$4,$A7,1),0),Sheet1!$A$5:$A$202,0)),"")</x:f>
        <x:v>11405</x:v>
      </x:c>
      <x:c r="G7"/>
      <x:c r="Z7"/>
    </x:row>
    <x:row r="8">
      <x:c r="A8" s="178" t="n">
        <x:v>5</x:v>
      </x:c>
      <x:c r="B8" s="177" t="n">
        <x:f>IFERROR(INDEX(Sheet1!$C$5:$C$202,MATCH(EOMONTH(DATE(B$4,$A8,1),0),Sheet1!$A$5:$A$202,0))-INDEX(Sheet1!$B$5:$B$202,MATCH(EOMONTH(DATE(B$4,$A8,1),0),Sheet1!$A$5:$A$202,0)),"")</x:f>
        <x:v>12320</x:v>
      </x:c>
      <x:c r="C8" s="177" t="n">
        <x:f>IFERROR(INDEX(Sheet1!$C$5:$C$202,MATCH(EOMONTH(DATE(C$4,$A8,1),0),Sheet1!$A$5:$A$202,0))-INDEX(Sheet1!$B$5:$B$202,MATCH(EOMONTH(DATE(C$4,$A8,1),0),Sheet1!$A$5:$A$202,0)),"")</x:f>
        <x:v>5129</x:v>
      </x:c>
      <x:c r="D8" s="177" t="n">
        <x:f>IFERROR(INDEX(Sheet1!$C$5:$C$202,MATCH(EOMONTH(DATE(D$4,$A8,1),0),Sheet1!$A$5:$A$202,0))-INDEX(Sheet1!$B$5:$B$202,MATCH(EOMONTH(DATE(D$4,$A8,1),0),Sheet1!$A$5:$A$202,0)),"")</x:f>
        <x:v>11447</x:v>
      </x:c>
      <x:c r="E8" s="177" t="n">
        <x:f>IFERROR(INDEX(Sheet1!$C$5:$C$202,MATCH(EOMONTH(DATE(E$4,$A8,1),0),Sheet1!$A$5:$A$202,0))-INDEX(Sheet1!$B$5:$B$202,MATCH(EOMONTH(DATE(E$4,$A8,1),0),Sheet1!$A$5:$A$202,0)),"")</x:f>
        <x:v>16330</x:v>
      </x:c>
      <x:c r="F8" s="177" t="n">
        <x:f>IFERROR(INDEX(Sheet1!$C$5:$C$202,MATCH(EOMONTH(DATE(F$4,$A8,1),0),Sheet1!$A$5:$A$202,0))-INDEX(Sheet1!$B$5:$B$202,MATCH(EOMONTH(DATE(F$4,$A8,1),0),Sheet1!$A$5:$A$202,0)),"")</x:f>
        <x:v>13412</x:v>
      </x:c>
      <x:c r="G8"/>
      <x:c r="Z8"/>
    </x:row>
    <x:row r="9">
      <x:c r="A9" s="178" t="n">
        <x:v>6</x:v>
      </x:c>
      <x:c r="B9" s="177" t="n">
        <x:f>IFERROR(INDEX(Sheet1!$C$5:$C$202,MATCH(EOMONTH(DATE(B$4,$A9,1),0),Sheet1!$A$5:$A$202,0))-INDEX(Sheet1!$B$5:$B$202,MATCH(EOMONTH(DATE(B$4,$A9,1),0),Sheet1!$A$5:$A$202,0)),"")</x:f>
        <x:v>23666</x:v>
      </x:c>
      <x:c r="C9" s="177" t="n">
        <x:f>IFERROR(INDEX(Sheet1!$C$5:$C$202,MATCH(EOMONTH(DATE(C$4,$A9,1),0),Sheet1!$A$5:$A$202,0))-INDEX(Sheet1!$B$5:$B$202,MATCH(EOMONTH(DATE(C$4,$A9,1),0),Sheet1!$A$5:$A$202,0)),"")</x:f>
        <x:v>14690</x:v>
      </x:c>
      <x:c r="D9" s="177" t="n">
        <x:f>IFERROR(INDEX(Sheet1!$C$5:$C$202,MATCH(EOMONTH(DATE(D$4,$A9,1),0),Sheet1!$A$5:$A$202,0))-INDEX(Sheet1!$B$5:$B$202,MATCH(EOMONTH(DATE(D$4,$A9,1),0),Sheet1!$A$5:$A$202,0)),"")</x:f>
        <x:v>20658</x:v>
      </x:c>
      <x:c r="E9" s="177" t="n">
        <x:f>IFERROR(INDEX(Sheet1!$C$5:$C$202,MATCH(EOMONTH(DATE(E$4,$A9,1),0),Sheet1!$A$5:$A$202,0))-INDEX(Sheet1!$B$5:$B$202,MATCH(EOMONTH(DATE(E$4,$A9,1),0),Sheet1!$A$5:$A$202,0)),"")</x:f>
        <x:v>25705</x:v>
      </x:c>
      <x:c r="F9" s="177" t="n">
        <x:f>IFERROR(INDEX(Sheet1!$C$5:$C$202,MATCH(EOMONTH(DATE(F$4,$A9,1),0),Sheet1!$A$5:$A$202,0))-INDEX(Sheet1!$B$5:$B$202,MATCH(EOMONTH(DATE(F$4,$A9,1),0),Sheet1!$A$5:$A$202,0)),"")</x:f>
        <x:v>22282</x:v>
      </x:c>
      <x:c r="G9"/>
      <x:c r="Z9"/>
    </x:row>
    <x:row r="10">
      <x:c r="A10" s="178" t="n">
        <x:v>7</x:v>
      </x:c>
      <x:c r="B10" s="177" t="n">
        <x:f>IFERROR(INDEX(Sheet1!$C$5:$C$202,MATCH(EOMONTH(DATE(B$4,$A10,1),0),Sheet1!$A$5:$A$202,0))-INDEX(Sheet1!$B$5:$B$202,MATCH(EOMONTH(DATE(B$4,$A10,1),0),Sheet1!$A$5:$A$202,0)),"")</x:f>
        <x:v>21770</x:v>
      </x:c>
      <x:c r="C10" s="177" t="n">
        <x:f>IFERROR(INDEX(Sheet1!$C$5:$C$202,MATCH(EOMONTH(DATE(C$4,$A10,1),0),Sheet1!$A$5:$A$202,0))-INDEX(Sheet1!$B$5:$B$202,MATCH(EOMONTH(DATE(C$4,$A10,1),0),Sheet1!$A$5:$A$202,0)),"")</x:f>
        <x:v>12289</x:v>
      </x:c>
      <x:c r="D10" s="177" t="n">
        <x:f>IFERROR(INDEX(Sheet1!$C$5:$C$202,MATCH(EOMONTH(DATE(D$4,$A10,1),0),Sheet1!$A$5:$A$202,0))-INDEX(Sheet1!$B$5:$B$202,MATCH(EOMONTH(DATE(D$4,$A10,1),0),Sheet1!$A$5:$A$202,0)),"")</x:f>
        <x:v>19800</x:v>
      </x:c>
      <x:c r="E10" s="177" t="n">
        <x:f>IFERROR(INDEX(Sheet1!$C$5:$C$202,MATCH(EOMONTH(DATE(E$4,$A10,1),0),Sheet1!$A$5:$A$202,0))-INDEX(Sheet1!$B$5:$B$202,MATCH(EOMONTH(DATE(E$4,$A10,1),0),Sheet1!$A$5:$A$202,0)),"")</x:f>
        <x:v>24898</x:v>
      </x:c>
      <x:c r="F10" s="177" t="str">
        <x:f>IFERROR(INDEX(Sheet1!$C$5:$C$202,MATCH(EOMONTH(DATE(F$4,$A10,1),0),Sheet1!$A$5:$A$202,0))-INDEX(Sheet1!$B$5:$B$202,MATCH(EOMONTH(DATE(F$4,$A10,1),0),Sheet1!$A$5:$A$202,0)),"")</x:f>
      </x:c>
      <x:c r="G10"/>
      <x:c r="Z10"/>
    </x:row>
    <x:row r="11">
      <x:c r="A11" s="178" t="n">
        <x:v>8</x:v>
      </x:c>
      <x:c r="B11" s="177" t="n">
        <x:f>IFERROR(INDEX(Sheet1!$C$5:$C$202,MATCH(EOMONTH(DATE(B$4,$A11,1),0),Sheet1!$A$5:$A$202,0))-INDEX(Sheet1!$B$5:$B$202,MATCH(EOMONTH(DATE(B$4,$A11,1),0),Sheet1!$A$5:$A$202,0)),"")</x:f>
        <x:v>27134</x:v>
      </x:c>
      <x:c r="C11" s="177" t="n">
        <x:f>IFERROR(INDEX(Sheet1!$C$5:$C$202,MATCH(EOMONTH(DATE(C$4,$A11,1),0),Sheet1!$A$5:$A$202,0))-INDEX(Sheet1!$B$5:$B$202,MATCH(EOMONTH(DATE(C$4,$A11,1),0),Sheet1!$A$5:$A$202,0)),"")</x:f>
        <x:v>19586</x:v>
      </x:c>
      <x:c r="D11" s="177" t="n">
        <x:f>IFERROR(INDEX(Sheet1!$C$5:$C$202,MATCH(EOMONTH(DATE(D$4,$A11,1),0),Sheet1!$A$5:$A$202,0))-INDEX(Sheet1!$B$5:$B$202,MATCH(EOMONTH(DATE(D$4,$A11,1),0),Sheet1!$A$5:$A$202,0)),"")</x:f>
        <x:v>26122</x:v>
      </x:c>
      <x:c r="E11" s="177" t="n">
        <x:f>IFERROR(INDEX(Sheet1!$C$5:$C$202,MATCH(EOMONTH(DATE(E$4,$A11,1),0),Sheet1!$A$5:$A$202,0))-INDEX(Sheet1!$B$5:$B$202,MATCH(EOMONTH(DATE(E$4,$A11,1),0),Sheet1!$A$5:$A$202,0)),"")</x:f>
        <x:v>31126</x:v>
      </x:c>
      <x:c r="F11" s="177" t="str">
        <x:f>IFERROR(INDEX(Sheet1!$C$5:$C$202,MATCH(EOMONTH(DATE(F$4,$A11,1),0),Sheet1!$A$5:$A$202,0))-INDEX(Sheet1!$B$5:$B$202,MATCH(EOMONTH(DATE(F$4,$A11,1),0),Sheet1!$A$5:$A$202,0)),"")</x:f>
      </x:c>
      <x:c r="G11"/>
      <x:c r="Z11"/>
    </x:row>
    <x:row r="12">
      <x:c r="A12" s="178" t="n">
        <x:v>9</x:v>
      </x:c>
      <x:c r="B12" s="177" t="n">
        <x:f>IFERROR(INDEX(Sheet1!$C$5:$C$202,MATCH(EOMONTH(DATE(B$4,$A12,1),0),Sheet1!$A$5:$A$202,0))-INDEX(Sheet1!$B$5:$B$202,MATCH(EOMONTH(DATE(B$4,$A12,1),0),Sheet1!$A$5:$A$202,0)),"")</x:f>
        <x:v>37238</x:v>
      </x:c>
      <x:c r="C12" s="177" t="n">
        <x:f>IFERROR(INDEX(Sheet1!$C$5:$C$202,MATCH(EOMONTH(DATE(C$4,$A12,1),0),Sheet1!$A$5:$A$202,0))-INDEX(Sheet1!$B$5:$B$202,MATCH(EOMONTH(DATE(C$4,$A12,1),0),Sheet1!$A$5:$A$202,0)),"")</x:f>
        <x:v>31184</x:v>
      </x:c>
      <x:c r="D12" s="177" t="n">
        <x:f>IFERROR(INDEX(Sheet1!$C$5:$C$202,MATCH(EOMONTH(DATE(D$4,$A12,1),0),Sheet1!$A$5:$A$202,0))-INDEX(Sheet1!$B$5:$B$202,MATCH(EOMONTH(DATE(D$4,$A12,1),0),Sheet1!$A$5:$A$202,0)),"")</x:f>
        <x:v>38720</x:v>
      </x:c>
      <x:c r="E12" s="177" t="n">
        <x:f>IFERROR(INDEX(Sheet1!$C$5:$C$202,MATCH(EOMONTH(DATE(E$4,$A12,1),0),Sheet1!$A$5:$A$202,0))-INDEX(Sheet1!$B$5:$B$202,MATCH(EOMONTH(DATE(E$4,$A12,1),0),Sheet1!$A$5:$A$202,0)),"")</x:f>
        <x:v>44188</x:v>
      </x:c>
      <x:c r="F12" s="177" t="str">
        <x:f>IFERROR(INDEX(Sheet1!$C$5:$C$202,MATCH(EOMONTH(DATE(F$4,$A12,1),0),Sheet1!$A$5:$A$202,0))-INDEX(Sheet1!$B$5:$B$202,MATCH(EOMONTH(DATE(F$4,$A12,1),0),Sheet1!$A$5:$A$202,0)),"")</x:f>
      </x:c>
      <x:c r="G12"/>
      <x:c r="Z12"/>
    </x:row>
    <x:row r="13">
      <x:c r="A13" s="178" t="n">
        <x:v>10</x:v>
      </x:c>
      <x:c r="B13" s="177" t="n">
        <x:f>IFERROR(INDEX(Sheet1!$C$5:$C$202,MATCH(EOMONTH(DATE(B$4,$A13,1),0),Sheet1!$A$5:$A$202,0))-INDEX(Sheet1!$B$5:$B$202,MATCH(EOMONTH(DATE(B$4,$A13,1),0),Sheet1!$A$5:$A$202,0)),"")</x:f>
        <x:v>32937</x:v>
      </x:c>
      <x:c r="C13" s="177" t="n">
        <x:f>IFERROR(INDEX(Sheet1!$C$5:$C$202,MATCH(EOMONTH(DATE(C$4,$A13,1),0),Sheet1!$A$5:$A$202,0))-INDEX(Sheet1!$B$5:$B$202,MATCH(EOMONTH(DATE(C$4,$A13,1),0),Sheet1!$A$5:$A$202,0)),"")</x:f>
        <x:v>28240</x:v>
      </x:c>
      <x:c r="D13" s="177" t="n">
        <x:f>IFERROR(INDEX(Sheet1!$C$5:$C$202,MATCH(EOMONTH(DATE(D$4,$A13,1),0),Sheet1!$A$5:$A$202,0))-INDEX(Sheet1!$B$5:$B$202,MATCH(EOMONTH(DATE(D$4,$A13,1),0),Sheet1!$A$5:$A$202,0)),"")</x:f>
        <x:v>36484</x:v>
      </x:c>
      <x:c r="E13" s="177" t="n">
        <x:f>IFERROR(INDEX(Sheet1!$C$5:$C$202,MATCH(EOMONTH(DATE(E$4,$A13,1),0),Sheet1!$A$5:$A$202,0))-INDEX(Sheet1!$B$5:$B$202,MATCH(EOMONTH(DATE(E$4,$A13,1),0),Sheet1!$A$5:$A$202,0)),"")</x:f>
        <x:v>39335</x:v>
      </x:c>
      <x:c r="F13" s="177" t="str">
        <x:f>IFERROR(INDEX(Sheet1!$C$5:$C$202,MATCH(EOMONTH(DATE(F$4,$A13,1),0),Sheet1!$A$5:$A$202,0))-INDEX(Sheet1!$B$5:$B$202,MATCH(EOMONTH(DATE(F$4,$A13,1),0),Sheet1!$A$5:$A$202,0)),"")</x:f>
      </x:c>
      <x:c r="G13"/>
      <x:c r="Z13"/>
    </x:row>
    <x:row r="14">
      <x:c r="A14" s="178" t="n">
        <x:v>11</x:v>
      </x:c>
      <x:c r="B14" s="177" t="n">
        <x:f>IFERROR(INDEX(Sheet1!$C$5:$C$202,MATCH(EOMONTH(DATE(B$4,$A14,1),0),Sheet1!$A$5:$A$202,0))-INDEX(Sheet1!$B$5:$B$202,MATCH(EOMONTH(DATE(B$4,$A14,1),0),Sheet1!$A$5:$A$202,0)),"")</x:f>
        <x:v>41737</x:v>
      </x:c>
      <x:c r="C14" s="177" t="n">
        <x:f>IFERROR(INDEX(Sheet1!$C$5:$C$202,MATCH(EOMONTH(DATE(C$4,$A14,1),0),Sheet1!$A$5:$A$202,0))-INDEX(Sheet1!$B$5:$B$202,MATCH(EOMONTH(DATE(C$4,$A14,1),0),Sheet1!$A$5:$A$202,0)),"")</x:f>
        <x:v>38331</x:v>
      </x:c>
      <x:c r="D14" s="177" t="n">
        <x:f>IFERROR(INDEX(Sheet1!$C$5:$C$202,MATCH(EOMONTH(DATE(D$4,$A14,1),0),Sheet1!$A$5:$A$202,0))-INDEX(Sheet1!$B$5:$B$202,MATCH(EOMONTH(DATE(D$4,$A14,1),0),Sheet1!$A$5:$A$202,0)),"")</x:f>
        <x:v>46043</x:v>
      </x:c>
      <x:c r="E14" s="177" t="n">
        <x:f>IFERROR(INDEX(Sheet1!$C$5:$C$202,MATCH(EOMONTH(DATE(E$4,$A14,1),0),Sheet1!$A$5:$A$202,0))-INDEX(Sheet1!$B$5:$B$202,MATCH(EOMONTH(DATE(E$4,$A14,1),0),Sheet1!$A$5:$A$202,0)),"")</x:f>
        <x:v>48022</x:v>
      </x:c>
      <x:c r="F14" s="177" t="str">
        <x:f>IFERROR(INDEX(Sheet1!$C$5:$C$202,MATCH(EOMONTH(DATE(F$4,$A14,1),0),Sheet1!$A$5:$A$202,0))-INDEX(Sheet1!$B$5:$B$202,MATCH(EOMONTH(DATE(F$4,$A14,1),0),Sheet1!$A$5:$A$202,0)),"")</x:f>
      </x:c>
      <x:c r="G14"/>
      <x:c r="Z14"/>
    </x:row>
    <x:row r="15">
      <x:c r="A15" s="178" t="n">
        <x:v>12</x:v>
      </x:c>
      <x:c r="B15" s="177" t="n">
        <x:f>IFERROR(INDEX(Sheet1!$C$5:$C$202,MATCH(EOMONTH(DATE(B$4,$A15,1),0),Sheet1!$A$5:$A$202,0))-INDEX(Sheet1!$B$5:$B$202,MATCH(EOMONTH(DATE(B$4,$A15,1),0),Sheet1!$A$5:$A$202,0)),"")</x:f>
        <x:v>56906</x:v>
      </x:c>
      <x:c r="C15" s="177" t="n">
        <x:f>IFERROR(INDEX(Sheet1!$C$5:$C$202,MATCH(EOMONTH(DATE(C$4,$A15,1),0),Sheet1!$A$5:$A$202,0))-INDEX(Sheet1!$B$5:$B$202,MATCH(EOMONTH(DATE(C$4,$A15,1),0),Sheet1!$A$5:$A$202,0)),"")</x:f>
        <x:v>57790</x:v>
      </x:c>
      <x:c r="D15" s="177" t="n">
        <x:f>IFERROR(INDEX(Sheet1!$C$5:$C$202,MATCH(EOMONTH(DATE(D$4,$A15,1),0),Sheet1!$A$5:$A$202,0))-INDEX(Sheet1!$B$5:$B$202,MATCH(EOMONTH(DATE(D$4,$A15,1),0),Sheet1!$A$5:$A$202,0)),"")</x:f>
        <x:v>64910</x:v>
      </x:c>
      <x:c r="E15" s="177" t="n">
        <x:f>IFERROR(INDEX(Sheet1!$C$5:$C$202,MATCH(EOMONTH(DATE(E$4,$A15,1),0),Sheet1!$A$5:$A$202,0))-INDEX(Sheet1!$B$5:$B$202,MATCH(EOMONTH(DATE(E$4,$A15,1),0),Sheet1!$A$5:$A$202,0)),"")</x:f>
        <x:v>71350</x:v>
      </x:c>
      <x:c r="F15" s="177" t="str">
        <x:f>IFERROR(INDEX(Sheet1!$C$5:$C$202,MATCH(EOMONTH(DATE(F$4,$A15,1),0),Sheet1!$A$5:$A$202,0))-INDEX(Sheet1!$B$5:$B$202,MATCH(EOMONTH(DATE(F$4,$A15,1),0),Sheet1!$A$5:$A$202,0)),"")</x:f>
      </x:c>
      <x:c r="G15"/>
      <x:c r="Z15"/>
    </x:row>
    <x:row r="17">
      <x:c r="A17"/>
      <x:c r="B17"/>
      <x:c r="C17"/>
      <x:c r="D17"/>
      <x:c r="E17"/>
      <x:c r="F17"/>
      <x:c r="G17"/>
    </x:row>
  </x:sheetData>
  <x:mergeCells>
    <x:mergeCell ref="A1:G1"/>
    <x:mergeCell ref="A2:G2"/>
    <x:mergeCell ref="A1:F1"/>
    <x:mergeCell ref="A2:F2"/>
  </x:mergeCells>
  <x:pageMargins left="0.7" right="0.7" top="0.75" bottom="0.75" header="0.3" footer="0.3"/>
  <x:drawing xmlns:r="http://schemas.openxmlformats.org/officeDocument/2006/relationships" r:id="R59e06b5bb4de481f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4" customHeight="1">
      <x:c r="A1" s="166" t="str">
        <x:v>05 一般公共预算收支增速差</x:v>
      </x:c>
      <x:c r="B1" s="166"/>
      <x:c r="C1" s="166"/>
      <x:c r="D1" s="166"/>
      <x:c r="E1"/>
      <x:c r="F1"/>
      <x:c r="G1"/>
    </x:row>
    <x:row r="2" ht="34" customHeight="1">
      <x:c r="A2" s="168" t="str">
        <x:v>口径：收支增速差 = 一般公共预算支出累计同比 − 一般公共预算收入累计同比，单位百分点。2019年以后1月因累计值口径不可比按HTML规则留空；本表展示2022-01至2026-06。</x:v>
      </x:c>
      <x:c r="B2" s="168"/>
      <x:c r="C2" s="168"/>
      <x:c r="D2" s="168"/>
      <x:c r="E2"/>
      <x:c r="F2"/>
      <x:c r="G2"/>
    </x:row>
    <x:row r="4" ht="28" customHeight="1">
      <x:c r="A4" s="173" t="str">
        <x:v>日期</x:v>
      </x:c>
      <x:c r="B4" s="173" t="str">
        <x:v>收支增速差 (pp)</x:v>
      </x:c>
      <x:c r="C4" s="173" t="str">
        <x:v>收入累计同比 (%)</x:v>
      </x:c>
      <x:c r="D4" s="173" t="str">
        <x:v>支出累计同比 (%)</x:v>
      </x:c>
      <x:c r="E4"/>
      <x:c r="F4"/>
      <x:c r="G4"/>
      <x:c r="Z4"/>
    </x:row>
    <x:row r="5">
      <x:c r="A5" s="107" t="n">
        <x:v>44592</x:v>
      </x:c>
      <x:c r="B5" s="115" t="str">
        <x:f>IF(MONTH($A5)=1,"",IF(OR(C5="",D5=""),"",D5-C5))</x:f>
      </x:c>
      <x:c r="C5" s="179" t="n">
        <x:f>IFERROR(INDEX(Sheet1!$D$5:$D$202,MATCH($A5,Sheet1!$A$5:$A$202,0)),"")</x:f>
        <x:v>0</x:v>
      </x:c>
      <x:c r="D5" s="179" t="n">
        <x:f>IFERROR(INDEX(Sheet1!$E$5:$E$202,MATCH($A5,Sheet1!$A$5:$A$202,0)),"")</x:f>
        <x:v>0</x:v>
      </x:c>
      <x:c r="E5"/>
      <x:c r="F5"/>
      <x:c r="G5"/>
      <x:c r="Z5"/>
    </x:row>
    <x:row r="6">
      <x:c r="A6" s="107" t="n">
        <x:v>44620</x:v>
      </x:c>
      <x:c r="B6" s="115" t="n">
        <x:f>IF(MONTH($A6)=1,"",IF(OR(C6="",D6=""),"",D6-C6))</x:f>
        <x:v>-3.5</x:v>
      </x:c>
      <x:c r="C6" s="179" t="n">
        <x:f>IFERROR(INDEX(Sheet1!$D$5:$D$202,MATCH($A6,Sheet1!$A$5:$A$202,0)),"")</x:f>
        <x:v>10.5</x:v>
      </x:c>
      <x:c r="D6" s="179" t="n">
        <x:f>IFERROR(INDEX(Sheet1!$E$5:$E$202,MATCH($A6,Sheet1!$A$5:$A$202,0)),"")</x:f>
        <x:v>7</x:v>
      </x:c>
      <x:c r="E6"/>
      <x:c r="F6"/>
      <x:c r="G6"/>
      <x:c r="Z6"/>
    </x:row>
    <x:row r="7">
      <x:c r="A7" s="107" t="n">
        <x:v>44651</x:v>
      </x:c>
      <x:c r="B7" s="115" t="n">
        <x:f>IF(MONTH($A7)=1,"",IF(OR(C7="",D7=""),"",D7-C7))</x:f>
        <x:v>-0.29999999999999893</x:v>
      </x:c>
      <x:c r="C7" s="179" t="n">
        <x:f>IFERROR(INDEX(Sheet1!$D$5:$D$202,MATCH($A7,Sheet1!$A$5:$A$202,0)),"")</x:f>
        <x:v>8.6</x:v>
      </x:c>
      <x:c r="D7" s="179" t="n">
        <x:f>IFERROR(INDEX(Sheet1!$E$5:$E$202,MATCH($A7,Sheet1!$A$5:$A$202,0)),"")</x:f>
        <x:v>8.3</x:v>
      </x:c>
      <x:c r="E7"/>
      <x:c r="F7"/>
      <x:c r="G7"/>
      <x:c r="Z7"/>
    </x:row>
    <x:row r="8">
      <x:c r="A8" s="107" t="n">
        <x:v>44681</x:v>
      </x:c>
      <x:c r="B8" s="115" t="n">
        <x:f>IF(MONTH($A8)=1,"",IF(OR(C8="",D8=""),"",D8-C8))</x:f>
        <x:v>10.7</x:v>
      </x:c>
      <x:c r="C8" s="179" t="n">
        <x:f>IFERROR(INDEX(Sheet1!$D$5:$D$202,MATCH($A8,Sheet1!$A$5:$A$202,0)),"")</x:f>
        <x:v>-4.8</x:v>
      </x:c>
      <x:c r="D8" s="179" t="n">
        <x:f>IFERROR(INDEX(Sheet1!$E$5:$E$202,MATCH($A8,Sheet1!$A$5:$A$202,0)),"")</x:f>
        <x:v>5.9</x:v>
      </x:c>
      <x:c r="E8"/>
      <x:c r="F8"/>
      <x:c r="G8"/>
      <x:c r="Z8"/>
    </x:row>
    <x:row r="9">
      <x:c r="A9" s="107" t="n">
        <x:v>44712</x:v>
      </x:c>
      <x:c r="B9" s="115" t="n">
        <x:f>IF(MONTH($A9)=1,"",IF(OR(C9="",D9=""),"",D9-C9))</x:f>
        <x:v>16</x:v>
      </x:c>
      <x:c r="C9" s="179" t="n">
        <x:f>IFERROR(INDEX(Sheet1!$D$5:$D$202,MATCH($A9,Sheet1!$A$5:$A$202,0)),"")</x:f>
        <x:v>-10.1</x:v>
      </x:c>
      <x:c r="D9" s="179" t="n">
        <x:f>IFERROR(INDEX(Sheet1!$E$5:$E$202,MATCH($A9,Sheet1!$A$5:$A$202,0)),"")</x:f>
        <x:v>5.9</x:v>
      </x:c>
      <x:c r="E9"/>
      <x:c r="F9"/>
      <x:c r="G9"/>
      <x:c r="Z9"/>
    </x:row>
    <x:row r="10">
      <x:c r="A10" s="107" t="n">
        <x:v>44742</x:v>
      </x:c>
      <x:c r="B10" s="115" t="n">
        <x:f>IF(MONTH($A10)=1,"",IF(OR(C10="",D10=""),"",D10-C10))</x:f>
        <x:v>16.1</x:v>
      </x:c>
      <x:c r="C10" s="179" t="n">
        <x:f>IFERROR(INDEX(Sheet1!$D$5:$D$202,MATCH($A10,Sheet1!$A$5:$A$202,0)),"")</x:f>
        <x:v>-10.2</x:v>
      </x:c>
      <x:c r="D10" s="179" t="n">
        <x:f>IFERROR(INDEX(Sheet1!$E$5:$E$202,MATCH($A10,Sheet1!$A$5:$A$202,0)),"")</x:f>
        <x:v>5.9</x:v>
      </x:c>
      <x:c r="E10"/>
      <x:c r="F10"/>
      <x:c r="G10"/>
      <x:c r="Z10"/>
    </x:row>
    <x:row r="11">
      <x:c r="A11" s="107" t="n">
        <x:v>44773</x:v>
      </x:c>
      <x:c r="B11" s="115" t="n">
        <x:f>IF(MONTH($A11)=1,"",IF(OR(C11="",D11=""),"",D11-C11))</x:f>
        <x:v>15.6</x:v>
      </x:c>
      <x:c r="C11" s="179" t="n">
        <x:f>IFERROR(INDEX(Sheet1!$D$5:$D$202,MATCH($A11,Sheet1!$A$5:$A$202,0)),"")</x:f>
        <x:v>-9.2</x:v>
      </x:c>
      <x:c r="D11" s="179" t="n">
        <x:f>IFERROR(INDEX(Sheet1!$E$5:$E$202,MATCH($A11,Sheet1!$A$5:$A$202,0)),"")</x:f>
        <x:v>6.4</x:v>
      </x:c>
      <x:c r="E11"/>
      <x:c r="F11"/>
      <x:c r="G11"/>
      <x:c r="Z11"/>
    </x:row>
    <x:row r="12">
      <x:c r="A12" s="107" t="n">
        <x:v>44804</x:v>
      </x:c>
      <x:c r="B12" s="115" t="n">
        <x:f>IF(MONTH($A12)=1,"",IF(OR(C12="",D12=""),"",D12-C12))</x:f>
        <x:v>14.3</x:v>
      </x:c>
      <x:c r="C12" s="179" t="n">
        <x:f>IFERROR(INDEX(Sheet1!$D$5:$D$202,MATCH($A12,Sheet1!$A$5:$A$202,0)),"")</x:f>
        <x:v>-8</x:v>
      </x:c>
      <x:c r="D12" s="179" t="n">
        <x:f>IFERROR(INDEX(Sheet1!$E$5:$E$202,MATCH($A12,Sheet1!$A$5:$A$202,0)),"")</x:f>
        <x:v>6.3</x:v>
      </x:c>
      <x:c r="E12"/>
      <x:c r="F12"/>
      <x:c r="G12"/>
      <x:c r="Z12"/>
    </x:row>
    <x:row r="13">
      <x:c r="A13" s="107" t="n">
        <x:v>44834</x:v>
      </x:c>
      <x:c r="B13" s="115" t="n">
        <x:f>IF(MONTH($A13)=1,"",IF(OR(C13="",D13=""),"",D13-C13))</x:f>
        <x:v>12.8</x:v>
      </x:c>
      <x:c r="C13" s="179" t="n">
        <x:f>IFERROR(INDEX(Sheet1!$D$5:$D$202,MATCH($A13,Sheet1!$A$5:$A$202,0)),"")</x:f>
        <x:v>-6.6</x:v>
      </x:c>
      <x:c r="D13" s="179" t="n">
        <x:f>IFERROR(INDEX(Sheet1!$E$5:$E$202,MATCH($A13,Sheet1!$A$5:$A$202,0)),"")</x:f>
        <x:v>6.2</x:v>
      </x:c>
      <x:c r="E13"/>
      <x:c r="F13"/>
      <x:c r="G13"/>
      <x:c r="Z13"/>
    </x:row>
    <x:row r="14">
      <x:c r="A14" s="107" t="n">
        <x:v>44865</x:v>
      </x:c>
      <x:c r="B14" s="115" t="n">
        <x:f>IF(MONTH($A14)=1,"",IF(OR(C14="",D14=""),"",D14-C14))</x:f>
        <x:v>10.9</x:v>
      </x:c>
      <x:c r="C14" s="179" t="n">
        <x:f>IFERROR(INDEX(Sheet1!$D$5:$D$202,MATCH($A14,Sheet1!$A$5:$A$202,0)),"")</x:f>
        <x:v>-4.5</x:v>
      </x:c>
      <x:c r="D14" s="179" t="n">
        <x:f>IFERROR(INDEX(Sheet1!$E$5:$E$202,MATCH($A14,Sheet1!$A$5:$A$202,0)),"")</x:f>
        <x:v>6.4</x:v>
      </x:c>
      <x:c r="E14"/>
      <x:c r="F14"/>
      <x:c r="G14"/>
      <x:c r="Z14"/>
    </x:row>
    <x:row r="15">
      <x:c r="A15" s="107" t="n">
        <x:v>44895</x:v>
      </x:c>
      <x:c r="B15" s="115" t="n">
        <x:f>IF(MONTH($A15)=1,"",IF(OR(C15="",D15=""),"",D15-C15))</x:f>
        <x:v>9.2</x:v>
      </x:c>
      <x:c r="C15" s="179" t="n">
        <x:f>IFERROR(INDEX(Sheet1!$D$5:$D$202,MATCH($A15,Sheet1!$A$5:$A$202,0)),"")</x:f>
        <x:v>-3</x:v>
      </x:c>
      <x:c r="D15" s="179" t="n">
        <x:f>IFERROR(INDEX(Sheet1!$E$5:$E$202,MATCH($A15,Sheet1!$A$5:$A$202,0)),"")</x:f>
        <x:v>6.2</x:v>
      </x:c>
      <x:c r="E15"/>
      <x:c r="F15"/>
      <x:c r="G15"/>
      <x:c r="Z15"/>
    </x:row>
    <x:row r="16">
      <x:c r="A16" s="107" t="n">
        <x:v>44926</x:v>
      </x:c>
      <x:c r="B16" s="115" t="n">
        <x:f>IF(MONTH($A16)=1,"",IF(OR(C16="",D16=""),"",D16-C16))</x:f>
        <x:v>5.5</x:v>
      </x:c>
      <x:c r="C16" s="179" t="n">
        <x:f>IFERROR(INDEX(Sheet1!$D$5:$D$202,MATCH($A16,Sheet1!$A$5:$A$202,0)),"")</x:f>
        <x:v>0.6</x:v>
      </x:c>
      <x:c r="D16" s="179" t="n">
        <x:f>IFERROR(INDEX(Sheet1!$E$5:$E$202,MATCH($A16,Sheet1!$A$5:$A$202,0)),"")</x:f>
        <x:v>6.1</x:v>
      </x:c>
    </x:row>
    <x:row r="17">
      <x:c r="A17" s="107" t="n">
        <x:v>44957</x:v>
      </x:c>
      <x:c r="B17" s="115" t="str">
        <x:f>IF(MONTH($A17)=1,"",IF(OR(C17="",D17=""),"",D17-C17))</x:f>
      </x:c>
      <x:c r="C17" s="179" t="n">
        <x:f>IFERROR(INDEX(Sheet1!$D$5:$D$202,MATCH($A17,Sheet1!$A$5:$A$202,0)),"")</x:f>
        <x:v>0</x:v>
      </x:c>
      <x:c r="D17" s="179" t="n">
        <x:f>IFERROR(INDEX(Sheet1!$E$5:$E$202,MATCH($A17,Sheet1!$A$5:$A$202,0)),"")</x:f>
        <x:v>0</x:v>
      </x:c>
      <x:c r="E17"/>
      <x:c r="F17"/>
      <x:c r="G17"/>
    </x:row>
    <x:row r="18">
      <x:c r="A18" s="107" t="n">
        <x:v>44985</x:v>
      </x:c>
      <x:c r="B18" s="115" t="n">
        <x:f>IF(MONTH($A18)=1,"",IF(OR(C18="",D18=""),"",D18-C18))</x:f>
        <x:v>8.2</x:v>
      </x:c>
      <x:c r="C18" s="179" t="n">
        <x:f>IFERROR(INDEX(Sheet1!$D$5:$D$202,MATCH($A18,Sheet1!$A$5:$A$202,0)),"")</x:f>
        <x:v>-1.2</x:v>
      </x:c>
      <x:c r="D18" s="179" t="n">
        <x:f>IFERROR(INDEX(Sheet1!$E$5:$E$202,MATCH($A18,Sheet1!$A$5:$A$202,0)),"")</x:f>
        <x:v>7</x:v>
      </x:c>
    </x:row>
    <x:row r="19">
      <x:c r="A19" s="107" t="n">
        <x:v>45016</x:v>
      </x:c>
      <x:c r="B19" s="115" t="n">
        <x:f>IF(MONTH($A19)=1,"",IF(OR(C19="",D19=""),"",D19-C19))</x:f>
        <x:v>6.3</x:v>
      </x:c>
      <x:c r="C19" s="179" t="n">
        <x:f>IFERROR(INDEX(Sheet1!$D$5:$D$202,MATCH($A19,Sheet1!$A$5:$A$202,0)),"")</x:f>
        <x:v>0.5</x:v>
      </x:c>
      <x:c r="D19" s="179" t="n">
        <x:f>IFERROR(INDEX(Sheet1!$E$5:$E$202,MATCH($A19,Sheet1!$A$5:$A$202,0)),"")</x:f>
        <x:v>6.8</x:v>
      </x:c>
    </x:row>
    <x:row r="20">
      <x:c r="A20" s="107" t="n">
        <x:v>45046</x:v>
      </x:c>
      <x:c r="B20" s="115" t="n">
        <x:f>IF(MONTH($A20)=1,"",IF(OR(C20="",D20=""),"",D20-C20))</x:f>
        <x:v>-5.1000000000000005</x:v>
      </x:c>
      <x:c r="C20" s="179" t="n">
        <x:f>IFERROR(INDEX(Sheet1!$D$5:$D$202,MATCH($A20,Sheet1!$A$5:$A$202,0)),"")</x:f>
        <x:v>11.9</x:v>
      </x:c>
      <x:c r="D20" s="179" t="n">
        <x:f>IFERROR(INDEX(Sheet1!$E$5:$E$202,MATCH($A20,Sheet1!$A$5:$A$202,0)),"")</x:f>
        <x:v>6.8</x:v>
      </x:c>
    </x:row>
    <x:row r="21">
      <x:c r="A21" s="107" t="n">
        <x:v>45077</x:v>
      </x:c>
      <x:c r="B21" s="115" t="n">
        <x:f>IF(MONTH($A21)=1,"",IF(OR(C21="",D21=""),"",D21-C21))</x:f>
        <x:v>-9.100000000000001</x:v>
      </x:c>
      <x:c r="C21" s="179" t="n">
        <x:f>IFERROR(INDEX(Sheet1!$D$5:$D$202,MATCH($A21,Sheet1!$A$5:$A$202,0)),"")</x:f>
        <x:v>14.9</x:v>
      </x:c>
      <x:c r="D21" s="179" t="n">
        <x:f>IFERROR(INDEX(Sheet1!$E$5:$E$202,MATCH($A21,Sheet1!$A$5:$A$202,0)),"")</x:f>
        <x:v>5.8</x:v>
      </x:c>
    </x:row>
    <x:row r="22">
      <x:c r="A22" s="107" t="n">
        <x:v>45107</x:v>
      </x:c>
      <x:c r="B22" s="115" t="n">
        <x:f>IF(MONTH($A22)=1,"",IF(OR(C22="",D22=""),"",D22-C22))</x:f>
        <x:v>-9.4</x:v>
      </x:c>
      <x:c r="C22" s="179" t="n">
        <x:f>IFERROR(INDEX(Sheet1!$D$5:$D$202,MATCH($A22,Sheet1!$A$5:$A$202,0)),"")</x:f>
        <x:v>13.3</x:v>
      </x:c>
      <x:c r="D22" s="179" t="n">
        <x:f>IFERROR(INDEX(Sheet1!$E$5:$E$202,MATCH($A22,Sheet1!$A$5:$A$202,0)),"")</x:f>
        <x:v>3.9</x:v>
      </x:c>
    </x:row>
    <x:row r="23">
      <x:c r="A23" s="107" t="n">
        <x:v>45138</x:v>
      </x:c>
      <x:c r="B23" s="115" t="n">
        <x:f>IF(MONTH($A23)=1,"",IF(OR(C23="",D23=""),"",D23-C23))</x:f>
        <x:v>-8.2</x:v>
      </x:c>
      <x:c r="C23" s="179" t="n">
        <x:f>IFERROR(INDEX(Sheet1!$D$5:$D$202,MATCH($A23,Sheet1!$A$5:$A$202,0)),"")</x:f>
        <x:v>11.5</x:v>
      </x:c>
      <x:c r="D23" s="179" t="n">
        <x:f>IFERROR(INDEX(Sheet1!$E$5:$E$202,MATCH($A23,Sheet1!$A$5:$A$202,0)),"")</x:f>
        <x:v>3.3</x:v>
      </x:c>
    </x:row>
    <x:row r="24">
      <x:c r="A24" s="107" t="n">
        <x:v>45169</x:v>
      </x:c>
      <x:c r="B24" s="115" t="n">
        <x:f>IF(MONTH($A24)=1,"",IF(OR(C24="",D24=""),"",D24-C24))</x:f>
        <x:v>-6.2</x:v>
      </x:c>
      <x:c r="C24" s="179" t="n">
        <x:f>IFERROR(INDEX(Sheet1!$D$5:$D$202,MATCH($A24,Sheet1!$A$5:$A$202,0)),"")</x:f>
        <x:v>10</x:v>
      </x:c>
      <x:c r="D24" s="179" t="n">
        <x:f>IFERROR(INDEX(Sheet1!$E$5:$E$202,MATCH($A24,Sheet1!$A$5:$A$202,0)),"")</x:f>
        <x:v>3.8</x:v>
      </x:c>
    </x:row>
    <x:row r="25">
      <x:c r="A25" s="107" t="n">
        <x:v>45199</x:v>
      </x:c>
      <x:c r="B25" s="115" t="n">
        <x:f>IF(MONTH($A25)=1,"",IF(OR(C25="",D25=""),"",D25-C25))</x:f>
        <x:v>-5</x:v>
      </x:c>
      <x:c r="C25" s="179" t="n">
        <x:f>IFERROR(INDEX(Sheet1!$D$5:$D$202,MATCH($A25,Sheet1!$A$5:$A$202,0)),"")</x:f>
        <x:v>8.9</x:v>
      </x:c>
      <x:c r="D25" s="179" t="n">
        <x:f>IFERROR(INDEX(Sheet1!$E$5:$E$202,MATCH($A25,Sheet1!$A$5:$A$202,0)),"")</x:f>
        <x:v>3.9</x:v>
      </x:c>
    </x:row>
    <x:row r="26">
      <x:c r="A26" s="107" t="n">
        <x:v>45230</x:v>
      </x:c>
      <x:c r="B26" s="115" t="n">
        <x:f>IF(MONTH($A26)=1,"",IF(OR(C26="",D26=""),"",D26-C26))</x:f>
        <x:v>-3.5</x:v>
      </x:c>
      <x:c r="C26" s="179" t="n">
        <x:f>IFERROR(INDEX(Sheet1!$D$5:$D$202,MATCH($A26,Sheet1!$A$5:$A$202,0)),"")</x:f>
        <x:v>8.1</x:v>
      </x:c>
      <x:c r="D26" s="179" t="n">
        <x:f>IFERROR(INDEX(Sheet1!$E$5:$E$202,MATCH($A26,Sheet1!$A$5:$A$202,0)),"")</x:f>
        <x:v>4.6</x:v>
      </x:c>
    </x:row>
    <x:row r="27">
      <x:c r="A27" s="107" t="n">
        <x:v>45260</x:v>
      </x:c>
      <x:c r="B27" s="115" t="n">
        <x:f>IF(MONTH($A27)=1,"",IF(OR(C27="",D27=""),"",D27-C27))</x:f>
        <x:v>-3</x:v>
      </x:c>
      <x:c r="C27" s="179" t="n">
        <x:f>IFERROR(INDEX(Sheet1!$D$5:$D$202,MATCH($A27,Sheet1!$A$5:$A$202,0)),"")</x:f>
        <x:v>7.9</x:v>
      </x:c>
      <x:c r="D27" s="179" t="n">
        <x:f>IFERROR(INDEX(Sheet1!$E$5:$E$202,MATCH($A27,Sheet1!$A$5:$A$202,0)),"")</x:f>
        <x:v>4.9</x:v>
      </x:c>
    </x:row>
    <x:row r="28">
      <x:c r="A28" s="107" t="n">
        <x:v>45291</x:v>
      </x:c>
      <x:c r="B28" s="115" t="n">
        <x:f>IF(MONTH($A28)=1,"",IF(OR(C28="",D28=""),"",D28-C28))</x:f>
        <x:v>-1</x:v>
      </x:c>
      <x:c r="C28" s="179" t="n">
        <x:f>IFERROR(INDEX(Sheet1!$D$5:$D$202,MATCH($A28,Sheet1!$A$5:$A$202,0)),"")</x:f>
        <x:v>6.4</x:v>
      </x:c>
      <x:c r="D28" s="179" t="n">
        <x:f>IFERROR(INDEX(Sheet1!$E$5:$E$202,MATCH($A28,Sheet1!$A$5:$A$202,0)),"")</x:f>
        <x:v>5.4</x:v>
      </x:c>
    </x:row>
    <x:row r="29">
      <x:c r="A29" s="107" t="n">
        <x:v>45322</x:v>
      </x:c>
      <x:c r="B29" s="115" t="str">
        <x:f>IF(MONTH($A29)=1,"",IF(OR(C29="",D29=""),"",D29-C29))</x:f>
      </x:c>
      <x:c r="C29" s="179" t="n">
        <x:f>IFERROR(INDEX(Sheet1!$D$5:$D$202,MATCH($A29,Sheet1!$A$5:$A$202,0)),"")</x:f>
        <x:v>0</x:v>
      </x:c>
      <x:c r="D29" s="179" t="n">
        <x:f>IFERROR(INDEX(Sheet1!$E$5:$E$202,MATCH($A29,Sheet1!$A$5:$A$202,0)),"")</x:f>
        <x:v>0</x:v>
      </x:c>
    </x:row>
    <x:row r="30">
      <x:c r="A30" s="107" t="n">
        <x:v>45351</x:v>
      </x:c>
      <x:c r="B30" s="115" t="n">
        <x:f>IF(MONTH($A30)=1,"",IF(OR(C30="",D30=""),"",D30-C30))</x:f>
        <x:v>9</x:v>
      </x:c>
      <x:c r="C30" s="179" t="n">
        <x:f>IFERROR(INDEX(Sheet1!$D$5:$D$202,MATCH($A30,Sheet1!$A$5:$A$202,0)),"")</x:f>
        <x:v>-2.3</x:v>
      </x:c>
      <x:c r="D30" s="179" t="n">
        <x:f>IFERROR(INDEX(Sheet1!$E$5:$E$202,MATCH($A30,Sheet1!$A$5:$A$202,0)),"")</x:f>
        <x:v>6.7</x:v>
      </x:c>
    </x:row>
    <x:row r="31">
      <x:c r="A31" s="107" t="n">
        <x:v>45382</x:v>
      </x:c>
      <x:c r="B31" s="115" t="n">
        <x:f>IF(MONTH($A31)=1,"",IF(OR(C31="",D31=""),"",D31-C31))</x:f>
        <x:v>5.199999999999999</x:v>
      </x:c>
      <x:c r="C31" s="179" t="n">
        <x:f>IFERROR(INDEX(Sheet1!$D$5:$D$202,MATCH($A31,Sheet1!$A$5:$A$202,0)),"")</x:f>
        <x:v>-2.3</x:v>
      </x:c>
      <x:c r="D31" s="179" t="n">
        <x:f>IFERROR(INDEX(Sheet1!$E$5:$E$202,MATCH($A31,Sheet1!$A$5:$A$202,0)),"")</x:f>
        <x:v>2.9</x:v>
      </x:c>
    </x:row>
    <x:row r="32">
      <x:c r="A32" s="107" t="n">
        <x:v>45412</x:v>
      </x:c>
      <x:c r="B32" s="115" t="n">
        <x:f>IF(MONTH($A32)=1,"",IF(OR(C32="",D32=""),"",D32-C32))</x:f>
        <x:v>6.2</x:v>
      </x:c>
      <x:c r="C32" s="179" t="n">
        <x:f>IFERROR(INDEX(Sheet1!$D$5:$D$202,MATCH($A32,Sheet1!$A$5:$A$202,0)),"")</x:f>
        <x:v>-2.7</x:v>
      </x:c>
      <x:c r="D32" s="179" t="n">
        <x:f>IFERROR(INDEX(Sheet1!$E$5:$E$202,MATCH($A32,Sheet1!$A$5:$A$202,0)),"")</x:f>
        <x:v>3.5</x:v>
      </x:c>
    </x:row>
    <x:row r="33">
      <x:c r="A33" s="107" t="n">
        <x:v>45443</x:v>
      </x:c>
      <x:c r="B33" s="115" t="n">
        <x:f>IF(MONTH($A33)=1,"",IF(OR(C33="",D33=""),"",D33-C33))</x:f>
        <x:v>6.199999999999999</x:v>
      </x:c>
      <x:c r="C33" s="179" t="n">
        <x:f>IFERROR(INDEX(Sheet1!$D$5:$D$202,MATCH($A33,Sheet1!$A$5:$A$202,0)),"")</x:f>
        <x:v>-2.8</x:v>
      </x:c>
      <x:c r="D33" s="179" t="n">
        <x:f>IFERROR(INDEX(Sheet1!$E$5:$E$202,MATCH($A33,Sheet1!$A$5:$A$202,0)),"")</x:f>
        <x:v>3.4</x:v>
      </x:c>
    </x:row>
    <x:row r="34">
      <x:c r="A34" s="107" t="n">
        <x:v>45473</x:v>
      </x:c>
      <x:c r="B34" s="115" t="n">
        <x:f>IF(MONTH($A34)=1,"",IF(OR(C34="",D34=""),"",D34-C34))</x:f>
        <x:v>4.8</x:v>
      </x:c>
      <x:c r="C34" s="179" t="n">
        <x:f>IFERROR(INDEX(Sheet1!$D$5:$D$202,MATCH($A34,Sheet1!$A$5:$A$202,0)),"")</x:f>
        <x:v>-2.8</x:v>
      </x:c>
      <x:c r="D34" s="179" t="n">
        <x:f>IFERROR(INDEX(Sheet1!$E$5:$E$202,MATCH($A34,Sheet1!$A$5:$A$202,0)),"")</x:f>
        <x:v>2</x:v>
      </x:c>
    </x:row>
    <x:row r="35">
      <x:c r="A35" s="107" t="n">
        <x:v>45504</x:v>
      </x:c>
      <x:c r="B35" s="115" t="n">
        <x:f>IF(MONTH($A35)=1,"",IF(OR(C35="",D35=""),"",D35-C35))</x:f>
        <x:v>5.1</x:v>
      </x:c>
      <x:c r="C35" s="179" t="n">
        <x:f>IFERROR(INDEX(Sheet1!$D$5:$D$202,MATCH($A35,Sheet1!$A$5:$A$202,0)),"")</x:f>
        <x:v>-2.6</x:v>
      </x:c>
      <x:c r="D35" s="179" t="n">
        <x:f>IFERROR(INDEX(Sheet1!$E$5:$E$202,MATCH($A35,Sheet1!$A$5:$A$202,0)),"")</x:f>
        <x:v>2.5</x:v>
      </x:c>
    </x:row>
    <x:row r="36">
      <x:c r="A36" s="107" t="n">
        <x:v>45535</x:v>
      </x:c>
      <x:c r="B36" s="115" t="n">
        <x:f>IF(MONTH($A36)=1,"",IF(OR(C36="",D36=""),"",D36-C36))</x:f>
        <x:v>4.1</x:v>
      </x:c>
      <x:c r="C36" s="179" t="n">
        <x:f>IFERROR(INDEX(Sheet1!$D$5:$D$202,MATCH($A36,Sheet1!$A$5:$A$202,0)),"")</x:f>
        <x:v>-2.6</x:v>
      </x:c>
      <x:c r="D36" s="179" t="n">
        <x:f>IFERROR(INDEX(Sheet1!$E$5:$E$202,MATCH($A36,Sheet1!$A$5:$A$202,0)),"")</x:f>
        <x:v>1.5</x:v>
      </x:c>
    </x:row>
    <x:row r="37">
      <x:c r="A37" s="107" t="n">
        <x:v>45565</x:v>
      </x:c>
      <x:c r="B37" s="115" t="n">
        <x:f>IF(MONTH($A37)=1,"",IF(OR(C37="",D37=""),"",D37-C37))</x:f>
        <x:v>4.2</x:v>
      </x:c>
      <x:c r="C37" s="179" t="n">
        <x:f>IFERROR(INDEX(Sheet1!$D$5:$D$202,MATCH($A37,Sheet1!$A$5:$A$202,0)),"")</x:f>
        <x:v>-2.2</x:v>
      </x:c>
      <x:c r="D37" s="179" t="n">
        <x:f>IFERROR(INDEX(Sheet1!$E$5:$E$202,MATCH($A37,Sheet1!$A$5:$A$202,0)),"")</x:f>
        <x:v>2</x:v>
      </x:c>
    </x:row>
    <x:row r="38">
      <x:c r="A38" s="107" t="n">
        <x:v>45596</x:v>
      </x:c>
      <x:c r="B38" s="115" t="n">
        <x:f>IF(MONTH($A38)=1,"",IF(OR(C38="",D38=""),"",D38-C38))</x:f>
        <x:v>4</x:v>
      </x:c>
      <x:c r="C38" s="179" t="n">
        <x:f>IFERROR(INDEX(Sheet1!$D$5:$D$202,MATCH($A38,Sheet1!$A$5:$A$202,0)),"")</x:f>
        <x:v>-1.3</x:v>
      </x:c>
      <x:c r="D38" s="179" t="n">
        <x:f>IFERROR(INDEX(Sheet1!$E$5:$E$202,MATCH($A38,Sheet1!$A$5:$A$202,0)),"")</x:f>
        <x:v>2.7</x:v>
      </x:c>
    </x:row>
    <x:row r="39">
      <x:c r="A39" s="107" t="n">
        <x:v>45626</x:v>
      </x:c>
      <x:c r="B39" s="115" t="n">
        <x:f>IF(MONTH($A39)=1,"",IF(OR(C39="",D39=""),"",D39-C39))</x:f>
        <x:v>3.4</x:v>
      </x:c>
      <x:c r="C39" s="179" t="n">
        <x:f>IFERROR(INDEX(Sheet1!$D$5:$D$202,MATCH($A39,Sheet1!$A$5:$A$202,0)),"")</x:f>
        <x:v>-0.6</x:v>
      </x:c>
      <x:c r="D39" s="179" t="n">
        <x:f>IFERROR(INDEX(Sheet1!$E$5:$E$202,MATCH($A39,Sheet1!$A$5:$A$202,0)),"")</x:f>
        <x:v>2.8</x:v>
      </x:c>
    </x:row>
    <x:row r="40">
      <x:c r="A40" s="107" t="n">
        <x:v>45657</x:v>
      </x:c>
      <x:c r="B40" s="115" t="n">
        <x:f>IF(MONTH($A40)=1,"",IF(OR(C40="",D40=""),"",D40-C40))</x:f>
        <x:v>2.3</x:v>
      </x:c>
      <x:c r="C40" s="179" t="n">
        <x:f>IFERROR(INDEX(Sheet1!$D$5:$D$202,MATCH($A40,Sheet1!$A$5:$A$202,0)),"")</x:f>
        <x:v>1.3</x:v>
      </x:c>
      <x:c r="D40" s="179" t="n">
        <x:f>IFERROR(INDEX(Sheet1!$E$5:$E$202,MATCH($A40,Sheet1!$A$5:$A$202,0)),"")</x:f>
        <x:v>3.6</x:v>
      </x:c>
    </x:row>
    <x:row r="41">
      <x:c r="A41" s="107" t="n">
        <x:v>45688</x:v>
      </x:c>
      <x:c r="B41" s="115" t="str">
        <x:f>IF(MONTH($A41)=1,"",IF(OR(C41="",D41=""),"",D41-C41))</x:f>
      </x:c>
      <x:c r="C41" s="179" t="n">
        <x:f>IFERROR(INDEX(Sheet1!$D$5:$D$202,MATCH($A41,Sheet1!$A$5:$A$202,0)),"")</x:f>
        <x:v>0</x:v>
      </x:c>
      <x:c r="D41" s="179" t="n">
        <x:f>IFERROR(INDEX(Sheet1!$E$5:$E$202,MATCH($A41,Sheet1!$A$5:$A$202,0)),"")</x:f>
        <x:v>0</x:v>
      </x:c>
    </x:row>
    <x:row r="42">
      <x:c r="A42" s="107" t="n">
        <x:v>45716</x:v>
      </x:c>
      <x:c r="B42" s="115" t="n">
        <x:f>IF(MONTH($A42)=1,"",IF(OR(C42="",D42=""),"",D42-C42))</x:f>
        <x:v>5</x:v>
      </x:c>
      <x:c r="C42" s="179" t="n">
        <x:f>IFERROR(INDEX(Sheet1!$D$5:$D$202,MATCH($A42,Sheet1!$A$5:$A$202,0)),"")</x:f>
        <x:v>-1.6</x:v>
      </x:c>
      <x:c r="D42" s="179" t="n">
        <x:f>IFERROR(INDEX(Sheet1!$E$5:$E$202,MATCH($A42,Sheet1!$A$5:$A$202,0)),"")</x:f>
        <x:v>3.4</x:v>
      </x:c>
    </x:row>
    <x:row r="43">
      <x:c r="A43" s="107" t="n">
        <x:v>45747</x:v>
      </x:c>
      <x:c r="B43" s="115" t="n">
        <x:f>IF(MONTH($A43)=1,"",IF(OR(C43="",D43=""),"",D43-C43))</x:f>
        <x:v>5.300000000000001</x:v>
      </x:c>
      <x:c r="C43" s="179" t="n">
        <x:f>IFERROR(INDEX(Sheet1!$D$5:$D$202,MATCH($A43,Sheet1!$A$5:$A$202,0)),"")</x:f>
        <x:v>-1.1</x:v>
      </x:c>
      <x:c r="D43" s="179" t="n">
        <x:f>IFERROR(INDEX(Sheet1!$E$5:$E$202,MATCH($A43,Sheet1!$A$5:$A$202,0)),"")</x:f>
        <x:v>4.2</x:v>
      </x:c>
    </x:row>
    <x:row r="44">
      <x:c r="A44" s="107" t="n">
        <x:v>45777</x:v>
      </x:c>
      <x:c r="B44" s="115" t="n">
        <x:f>IF(MONTH($A44)=1,"",IF(OR(C44="",D44=""),"",D44-C44))</x:f>
        <x:v>5</x:v>
      </x:c>
      <x:c r="C44" s="179" t="n">
        <x:f>IFERROR(INDEX(Sheet1!$D$5:$D$202,MATCH($A44,Sheet1!$A$5:$A$202,0)),"")</x:f>
        <x:v>-0.4</x:v>
      </x:c>
      <x:c r="D44" s="179" t="n">
        <x:f>IFERROR(INDEX(Sheet1!$E$5:$E$202,MATCH($A44,Sheet1!$A$5:$A$202,0)),"")</x:f>
        <x:v>4.6</x:v>
      </x:c>
    </x:row>
    <x:row r="45">
      <x:c r="A45" s="107" t="n">
        <x:v>45808</x:v>
      </x:c>
      <x:c r="B45" s="115" t="n">
        <x:f>IF(MONTH($A45)=1,"",IF(OR(C45="",D45=""),"",D45-C45))</x:f>
        <x:v>4.5</x:v>
      </x:c>
      <x:c r="C45" s="179" t="n">
        <x:f>IFERROR(INDEX(Sheet1!$D$5:$D$202,MATCH($A45,Sheet1!$A$5:$A$202,0)),"")</x:f>
        <x:v>-0.3</x:v>
      </x:c>
      <x:c r="D45" s="179" t="n">
        <x:f>IFERROR(INDEX(Sheet1!$E$5:$E$202,MATCH($A45,Sheet1!$A$5:$A$202,0)),"")</x:f>
        <x:v>4.2</x:v>
      </x:c>
    </x:row>
    <x:row r="46">
      <x:c r="A46" s="107" t="n">
        <x:v>45838</x:v>
      </x:c>
      <x:c r="B46" s="115" t="n">
        <x:f>IF(MONTH($A46)=1,"",IF(OR(C46="",D46=""),"",D46-C46))</x:f>
        <x:v>3.6999999999999997</x:v>
      </x:c>
      <x:c r="C46" s="179" t="n">
        <x:f>IFERROR(INDEX(Sheet1!$D$5:$D$202,MATCH($A46,Sheet1!$A$5:$A$202,0)),"")</x:f>
        <x:v>-0.3</x:v>
      </x:c>
      <x:c r="D46" s="179" t="n">
        <x:f>IFERROR(INDEX(Sheet1!$E$5:$E$202,MATCH($A46,Sheet1!$A$5:$A$202,0)),"")</x:f>
        <x:v>3.4</x:v>
      </x:c>
    </x:row>
    <x:row r="47">
      <x:c r="A47" s="107" t="n">
        <x:v>45869</x:v>
      </x:c>
      <x:c r="B47" s="115" t="n">
        <x:f>IF(MONTH($A47)=1,"",IF(OR(C47="",D47=""),"",D47-C47))</x:f>
        <x:v>3.3</x:v>
      </x:c>
      <x:c r="C47" s="179" t="n">
        <x:f>IFERROR(INDEX(Sheet1!$D$5:$D$202,MATCH($A47,Sheet1!$A$5:$A$202,0)),"")</x:f>
        <x:v>0.1</x:v>
      </x:c>
      <x:c r="D47" s="179" t="n">
        <x:f>IFERROR(INDEX(Sheet1!$E$5:$E$202,MATCH($A47,Sheet1!$A$5:$A$202,0)),"")</x:f>
        <x:v>3.4</x:v>
      </x:c>
    </x:row>
    <x:row r="48">
      <x:c r="A48" s="107" t="n">
        <x:v>45900</x:v>
      </x:c>
      <x:c r="B48" s="115" t="n">
        <x:f>IF(MONTH($A48)=1,"",IF(OR(C48="",D48=""),"",D48-C48))</x:f>
        <x:v>2.8000000000000003</x:v>
      </x:c>
      <x:c r="C48" s="179" t="n">
        <x:f>IFERROR(INDEX(Sheet1!$D$5:$D$202,MATCH($A48,Sheet1!$A$5:$A$202,0)),"")</x:f>
        <x:v>0.3</x:v>
      </x:c>
      <x:c r="D48" s="179" t="n">
        <x:f>IFERROR(INDEX(Sheet1!$E$5:$E$202,MATCH($A48,Sheet1!$A$5:$A$202,0)),"")</x:f>
        <x:v>3.1</x:v>
      </x:c>
    </x:row>
    <x:row r="49">
      <x:c r="A49" s="107" t="n">
        <x:v>45930</x:v>
      </x:c>
      <x:c r="B49" s="115" t="n">
        <x:f>IF(MONTH($A49)=1,"",IF(OR(C49="",D49=""),"",D49-C49))</x:f>
        <x:v>2.6</x:v>
      </x:c>
      <x:c r="C49" s="179" t="n">
        <x:f>IFERROR(INDEX(Sheet1!$D$5:$D$202,MATCH($A49,Sheet1!$A$5:$A$202,0)),"")</x:f>
        <x:v>0.5</x:v>
      </x:c>
      <x:c r="D49" s="179" t="n">
        <x:f>IFERROR(INDEX(Sheet1!$E$5:$E$202,MATCH($A49,Sheet1!$A$5:$A$202,0)),"")</x:f>
        <x:v>3.1</x:v>
      </x:c>
    </x:row>
    <x:row r="50">
      <x:c r="A50" s="107" t="n">
        <x:v>45961</x:v>
      </x:c>
      <x:c r="B50" s="115" t="n">
        <x:f>IF(MONTH($A50)=1,"",IF(OR(C50="",D50=""),"",D50-C50))</x:f>
        <x:v>1.2</x:v>
      </x:c>
      <x:c r="C50" s="179" t="n">
        <x:f>IFERROR(INDEX(Sheet1!$D$5:$D$202,MATCH($A50,Sheet1!$A$5:$A$202,0)),"")</x:f>
        <x:v>0.8</x:v>
      </x:c>
      <x:c r="D50" s="179" t="n">
        <x:f>IFERROR(INDEX(Sheet1!$E$5:$E$202,MATCH($A50,Sheet1!$A$5:$A$202,0)),"")</x:f>
        <x:v>2</x:v>
      </x:c>
    </x:row>
    <x:row r="51">
      <x:c r="A51" s="107" t="n">
        <x:v>45991</x:v>
      </x:c>
      <x:c r="B51" s="115" t="n">
        <x:f>IF(MONTH($A51)=1,"",IF(OR(C51="",D51=""),"",D51-C51))</x:f>
        <x:v>0.5999999999999999</x:v>
      </x:c>
      <x:c r="C51" s="179" t="n">
        <x:f>IFERROR(INDEX(Sheet1!$D$5:$D$202,MATCH($A51,Sheet1!$A$5:$A$202,0)),"")</x:f>
        <x:v>0.8</x:v>
      </x:c>
      <x:c r="D51" s="179" t="n">
        <x:f>IFERROR(INDEX(Sheet1!$E$5:$E$202,MATCH($A51,Sheet1!$A$5:$A$202,0)),"")</x:f>
        <x:v>1.4</x:v>
      </x:c>
    </x:row>
    <x:row r="52">
      <x:c r="A52" s="107" t="n">
        <x:v>46022</x:v>
      </x:c>
      <x:c r="B52" s="115" t="n">
        <x:f>IF(MONTH($A52)=1,"",IF(OR(C52="",D52=""),"",D52-C52))</x:f>
        <x:v>2.7</x:v>
      </x:c>
      <x:c r="C52" s="179" t="n">
        <x:f>IFERROR(INDEX(Sheet1!$D$5:$D$202,MATCH($A52,Sheet1!$A$5:$A$202,0)),"")</x:f>
        <x:v>-1.7</x:v>
      </x:c>
      <x:c r="D52" s="179" t="n">
        <x:f>IFERROR(INDEX(Sheet1!$E$5:$E$202,MATCH($A52,Sheet1!$A$5:$A$202,0)),"")</x:f>
        <x:v>1</x:v>
      </x:c>
    </x:row>
    <x:row r="53">
      <x:c r="A53" s="107" t="n">
        <x:v>46053</x:v>
      </x:c>
      <x:c r="B53" s="115" t="str">
        <x:f>IF(MONTH($A53)=1,"",IF(OR(C53="",D53=""),"",D53-C53))</x:f>
      </x:c>
      <x:c r="C53" s="179" t="n">
        <x:f>IFERROR(INDEX(Sheet1!$D$5:$D$202,MATCH($A53,Sheet1!$A$5:$A$202,0)),"")</x:f>
        <x:v>0</x:v>
      </x:c>
      <x:c r="D53" s="179" t="n">
        <x:f>IFERROR(INDEX(Sheet1!$E$5:$E$202,MATCH($A53,Sheet1!$A$5:$A$202,0)),"")</x:f>
        <x:v>0</x:v>
      </x:c>
    </x:row>
    <x:row r="54">
      <x:c r="A54" s="107" t="n">
        <x:v>46081</x:v>
      </x:c>
      <x:c r="B54" s="115" t="n">
        <x:f>IF(MONTH($A54)=1,"",IF(OR(C54="",D54=""),"",D54-C54))</x:f>
        <x:v>2.9000000000000004</x:v>
      </x:c>
      <x:c r="C54" s="179" t="n">
        <x:f>IFERROR(INDEX(Sheet1!$D$5:$D$202,MATCH($A54,Sheet1!$A$5:$A$202,0)),"")</x:f>
        <x:v>0.7</x:v>
      </x:c>
      <x:c r="D54" s="179" t="n">
        <x:f>IFERROR(INDEX(Sheet1!$E$5:$E$202,MATCH($A54,Sheet1!$A$5:$A$202,0)),"")</x:f>
        <x:v>3.6</x:v>
      </x:c>
    </x:row>
    <x:row r="55">
      <x:c r="A55" s="107" t="n">
        <x:v>46112</x:v>
      </x:c>
      <x:c r="B55" s="115" t="n">
        <x:f>IF(MONTH($A55)=1,"",IF(OR(C55="",D55=""),"",D55-C55))</x:f>
        <x:v>0.20000000000000018</x:v>
      </x:c>
      <x:c r="C55" s="179" t="n">
        <x:f>IFERROR(INDEX(Sheet1!$D$5:$D$202,MATCH($A55,Sheet1!$A$5:$A$202,0)),"")</x:f>
        <x:v>2.4</x:v>
      </x:c>
      <x:c r="D55" s="179" t="n">
        <x:f>IFERROR(INDEX(Sheet1!$E$5:$E$202,MATCH($A55,Sheet1!$A$5:$A$202,0)),"")</x:f>
        <x:v>2.6</x:v>
      </x:c>
    </x:row>
    <x:row r="56">
      <x:c r="A56" s="107" t="n">
        <x:v>46142</x:v>
      </x:c>
      <x:c r="B56" s="115" t="n">
        <x:f>IF(MONTH($A56)=1,"",IF(OR(C56="",D56=""),"",D56-C56))</x:f>
        <x:v>-2.2</x:v>
      </x:c>
      <x:c r="C56" s="179" t="n">
        <x:f>IFERROR(INDEX(Sheet1!$D$5:$D$202,MATCH($A56,Sheet1!$A$5:$A$202,0)),"")</x:f>
        <x:v>3.5</x:v>
      </x:c>
      <x:c r="D56" s="179" t="n">
        <x:f>IFERROR(INDEX(Sheet1!$E$5:$E$202,MATCH($A56,Sheet1!$A$5:$A$202,0)),"")</x:f>
        <x:v>1.3</x:v>
      </x:c>
    </x:row>
    <x:row r="57">
      <x:c r="A57" s="107" t="n">
        <x:v>46173</x:v>
      </x:c>
      <x:c r="B57" s="115" t="n">
        <x:f>IF(MONTH($A57)=1,"",IF(OR(C57="",D57=""),"",D57-C57))</x:f>
        <x:v>-3.2</x:v>
      </x:c>
      <x:c r="C57" s="179" t="n">
        <x:f>IFERROR(INDEX(Sheet1!$D$5:$D$202,MATCH($A57,Sheet1!$A$5:$A$202,0)),"")</x:f>
        <x:v>4</x:v>
      </x:c>
      <x:c r="D57" s="179" t="n">
        <x:f>IFERROR(INDEX(Sheet1!$E$5:$E$202,MATCH($A57,Sheet1!$A$5:$A$202,0)),"")</x:f>
        <x:v>0.8</x:v>
      </x:c>
    </x:row>
    <x:row r="58">
      <x:c r="A58" s="107" t="n">
        <x:v>46203</x:v>
      </x:c>
      <x:c r="B58" s="115" t="n">
        <x:f>IF(MONTH($A58)=1,"",IF(OR(C58="",D58=""),"",D58-C58))</x:f>
        <x:v>-3.2</x:v>
      </x:c>
      <x:c r="C58" s="179" t="n">
        <x:f>IFERROR(INDEX(Sheet1!$D$5:$D$202,MATCH($A58,Sheet1!$A$5:$A$202,0)),"")</x:f>
        <x:v>4.7</x:v>
      </x:c>
      <x:c r="D58" s="179" t="n">
        <x:f>IFERROR(INDEX(Sheet1!$E$5:$E$202,MATCH($A58,Sheet1!$A$5:$A$202,0)),"")</x:f>
        <x:v>1.5</x:v>
      </x:c>
    </x:row>
  </x:sheetData>
  <x:mergeCells>
    <x:mergeCell ref="A1:G1"/>
    <x:mergeCell ref="A2:G2"/>
    <x:mergeCell ref="A1:D1"/>
    <x:mergeCell ref="A2:D2"/>
  </x:mergeCells>
  <x:pageMargins left="0.7" right="0.7" top="0.75" bottom="0.75" header="0.3" footer="0.3"/>
  <x:drawing xmlns:r="http://schemas.openxmlformats.org/officeDocument/2006/relationships" r:id="R7355abd0d2664e1a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66" t="str">
        <x:v>06 政府性基金与土地出让收入</x:v>
      </x:c>
      <x:c r="B1" s="166"/>
      <x:c r="C1" s="166"/>
      <x:c r="D1" s="166"/>
      <x:c r="E1" s="166"/>
      <x:c r="F1" s="166"/>
      <x:c r="G1" s="166"/>
    </x:row>
    <x:row r="2" ht="44" customHeight="1">
      <x:c r="A2" s="168" t="str">
        <x:v>口径：政府性基金收入、国有土地使用权出让收入均由累计值计算累计同比；当年或上年同期累计值为0/缺失时留空，不用0代替。HTML为两条折线，土地出让收入为虚线；本表展示2022-01至2026-06。</x:v>
      </x:c>
      <x:c r="B2" s="168"/>
      <x:c r="C2" s="168"/>
      <x:c r="D2" s="168"/>
      <x:c r="E2" s="168"/>
      <x:c r="F2" s="168"/>
      <x:c r="G2" s="168"/>
    </x:row>
    <x:row r="4" ht="28" customHeight="1">
      <x:c r="A4" s="173" t="str">
        <x:v>日期</x:v>
      </x:c>
      <x:c r="B4" s="173" t="str">
        <x:v>政府性基金收入累计同比 (%)</x:v>
      </x:c>
      <x:c r="C4" s="173" t="str">
        <x:v>土地出让收入累计同比 (%)</x:v>
      </x:c>
      <x:c r="D4" s="173" t="str">
        <x:v>基金收入累计</x:v>
      </x:c>
      <x:c r="E4" s="173" t="str">
        <x:v>上年同期基金收入</x:v>
      </x:c>
      <x:c r="F4" s="173" t="str">
        <x:v>土地出让收入累计</x:v>
      </x:c>
      <x:c r="G4" s="173" t="str">
        <x:v>上年同期土地收入</x:v>
      </x:c>
    </x:row>
    <x:row r="5">
      <x:c r="A5" s="107" t="n">
        <x:v>44592</x:v>
      </x:c>
      <x:c r="B5" s="115" t="str">
        <x:f>IF(OR(D5="",E5="",D5=0,E5=0),"",(D5/E5-1)*100)</x:f>
      </x:c>
      <x:c r="C5" s="115" t="str">
        <x:f>IF(OR(F5="",G5="",F5=0,G5=0),"",(F5/G5-1)*100)</x:f>
      </x:c>
      <x:c r="D5" s="180" t="n">
        <x:f>IFERROR(INDEX(Sheet1!$H$5:$H$202,MATCH($A5,Sheet1!$A$5:$A$202,0)),"")</x:f>
        <x:v>0</x:v>
      </x:c>
      <x:c r="E5" s="180" t="n">
        <x:f>IFERROR(INDEX(Sheet1!$H$5:$H$202,MATCH(EDATE($A5,-12),Sheet1!$A$5:$A$202,0)),"")</x:f>
        <x:v>0</x:v>
      </x:c>
      <x:c r="F5" s="180" t="n">
        <x:f>IFERROR(INDEX(Sheet1!$J$5:$J$202,MATCH($A5,Sheet1!$A$5:$A$202,0)),"")</x:f>
        <x:v>0</x:v>
      </x:c>
      <x:c r="G5" s="180" t="n">
        <x:f>IFERROR(INDEX(Sheet1!$J$5:$J$202,MATCH(EDATE($A5,-12),Sheet1!$A$5:$A$202,0)),"")</x:f>
        <x:v>0</x:v>
      </x:c>
    </x:row>
    <x:row r="6">
      <x:c r="A6" s="107" t="n">
        <x:v>44620</x:v>
      </x:c>
      <x:c r="B6" s="115" t="n">
        <x:f>IF(OR(D6="",E6="",D6=0,E6=0),"",(D6/E6-1)*100)</x:f>
        <x:v>-27.222884386174016</x:v>
      </x:c>
      <x:c r="C6" s="115" t="n">
        <x:f>IF(OR(F6="",G6="",F6=0,G6=0),"",(F6/G6-1)*100)</x:f>
        <x:v>-29.49448202207191</x:v>
      </x:c>
      <x:c r="D6" s="180" t="n">
        <x:f>IFERROR(INDEX(Sheet1!$H$5:$H$202,MATCH($A6,Sheet1!$A$5:$A$202,0)),"")</x:f>
        <x:v>9159</x:v>
      </x:c>
      <x:c r="E6" s="180" t="n">
        <x:f>IFERROR(INDEX(Sheet1!$H$5:$H$202,MATCH(EDATE($A6,-12),Sheet1!$A$5:$A$202,0)),"")</x:f>
        <x:v>12585</x:v>
      </x:c>
      <x:c r="F6" s="180" t="n">
        <x:f>IFERROR(INDEX(Sheet1!$J$5:$J$202,MATCH($A6,Sheet1!$A$5:$A$202,0)),"")</x:f>
        <x:v>7922</x:v>
      </x:c>
      <x:c r="G6" s="180" t="n">
        <x:f>IFERROR(INDEX(Sheet1!$J$5:$J$202,MATCH(EDATE($A6,-12),Sheet1!$A$5:$A$202,0)),"")</x:f>
        <x:v>11236</x:v>
      </x:c>
    </x:row>
    <x:row r="7">
      <x:c r="A7" s="107" t="n">
        <x:v>44651</x:v>
      </x:c>
      <x:c r="B7" s="115" t="n">
        <x:f>IF(OR(D7="",E7="",D7=0,E7=0),"",(D7/E7-1)*100)</x:f>
        <x:v>-25.600644987906474</x:v>
      </x:c>
      <x:c r="C7" s="115" t="n">
        <x:f>IF(OR(F7="",G7="",F7=0,G7=0),"",(F7/G7-1)*100)</x:f>
        <x:v>-27.382036800874477</x:v>
      </x:c>
      <x:c r="D7" s="180" t="n">
        <x:f>IFERROR(INDEX(Sheet1!$H$5:$H$202,MATCH($A7,Sheet1!$A$5:$A$202,0)),"")</x:f>
        <x:v>13842</x:v>
      </x:c>
      <x:c r="E7" s="180" t="n">
        <x:f>IFERROR(INDEX(Sheet1!$H$5:$H$202,MATCH(EDATE($A7,-12),Sheet1!$A$5:$A$202,0)),"")</x:f>
        <x:v>18605</x:v>
      </x:c>
      <x:c r="F7" s="180" t="n">
        <x:f>IFERROR(INDEX(Sheet1!$J$5:$J$202,MATCH($A7,Sheet1!$A$5:$A$202,0)),"")</x:f>
        <x:v>11958</x:v>
      </x:c>
      <x:c r="G7" s="180" t="n">
        <x:f>IFERROR(INDEX(Sheet1!$J$5:$J$202,MATCH(EDATE($A7,-12),Sheet1!$A$5:$A$202,0)),"")</x:f>
        <x:v>16467</x:v>
      </x:c>
    </x:row>
    <x:row r="8">
      <x:c r="A8" s="107" t="n">
        <x:v>44681</x:v>
      </x:c>
      <x:c r="B8" s="115" t="n">
        <x:f>IF(OR(D8="",E8="",D8=0,E8=0),"",(D8/E8-1)*100)</x:f>
        <x:v>-27.647567656629736</x:v>
      </x:c>
      <x:c r="C8" s="115" t="n">
        <x:f>IF(OR(F8="",G8="",F8=0,G8=0),"",(F8/G8-1)*100)</x:f>
        <x:v>-29.7946967216948</x:v>
      </x:c>
      <x:c r="D8" s="180" t="n">
        <x:f>IFERROR(INDEX(Sheet1!$H$5:$H$202,MATCH($A8,Sheet1!$A$5:$A$202,0)),"")</x:f>
        <x:v>17565</x:v>
      </x:c>
      <x:c r="E8" s="180" t="n">
        <x:f>IFERROR(INDEX(Sheet1!$H$5:$H$202,MATCH(EDATE($A8,-12),Sheet1!$A$5:$A$202,0)),"")</x:f>
        <x:v>24277</x:v>
      </x:c>
      <x:c r="F8" s="180" t="n">
        <x:f>IFERROR(INDEX(Sheet1!$J$5:$J$202,MATCH($A8,Sheet1!$A$5:$A$202,0)),"")</x:f>
        <x:v>15012</x:v>
      </x:c>
      <x:c r="G8" s="180" t="n">
        <x:f>IFERROR(INDEX(Sheet1!$J$5:$J$202,MATCH(EDATE($A8,-12),Sheet1!$A$5:$A$202,0)),"")</x:f>
        <x:v>21383</x:v>
      </x:c>
    </x:row>
    <x:row r="9">
      <x:c r="A9" s="107" t="n">
        <x:v>44712</x:v>
      </x:c>
      <x:c r="B9" s="115" t="n">
        <x:f>IF(OR(D9="",E9="",D9=0,E9=0),"",(D9/E9-1)*100)</x:f>
        <x:v>-26.11096148666846</x:v>
      </x:c>
      <x:c r="C9" s="115" t="n">
        <x:f>IF(OR(F9="",G9="",F9=0,G9=0),"",(F9/G9-1)*100)</x:f>
        <x:v>-28.74861233395858</x:v>
      </x:c>
      <x:c r="D9" s="180" t="n">
        <x:f>IFERROR(INDEX(Sheet1!$H$5:$H$202,MATCH($A9,Sheet1!$A$5:$A$202,0)),"")</x:f>
        <x:v>21948</x:v>
      </x:c>
      <x:c r="E9" s="180" t="n">
        <x:f>IFERROR(INDEX(Sheet1!$H$5:$H$202,MATCH(EDATE($A9,-12),Sheet1!$A$5:$A$202,0)),"")</x:f>
        <x:v>29704</x:v>
      </x:c>
      <x:c r="F9" s="180" t="n">
        <x:f>IFERROR(INDEX(Sheet1!$J$5:$J$202,MATCH($A9,Sheet1!$A$5:$A$202,0)),"")</x:f>
        <x:v>18613</x:v>
      </x:c>
      <x:c r="G9" s="180" t="n">
        <x:f>IFERROR(INDEX(Sheet1!$J$5:$J$202,MATCH(EDATE($A9,-12),Sheet1!$A$5:$A$202,0)),"")</x:f>
        <x:v>26123</x:v>
      </x:c>
    </x:row>
    <x:row r="10">
      <x:c r="A10" s="107" t="n">
        <x:v>44742</x:v>
      </x:c>
      <x:c r="B10" s="115" t="n">
        <x:f>IF(OR(D10="",E10="",D10=0,E10=0),"",(D10/E10-1)*100)</x:f>
        <x:v>-28.43031884948053</x:v>
      </x:c>
      <x:c r="C10" s="115" t="n">
        <x:f>IF(OR(F10="",G10="",F10=0,G10=0),"",(F10/G10-1)*100)</x:f>
        <x:v>-31.40318271576258</x:v>
      </x:c>
      <x:c r="D10" s="180" t="n">
        <x:f>IFERROR(INDEX(Sheet1!$H$5:$H$202,MATCH($A10,Sheet1!$A$5:$A$202,0)),"")</x:f>
        <x:v>27968</x:v>
      </x:c>
      <x:c r="E10" s="180" t="n">
        <x:f>IFERROR(INDEX(Sheet1!$H$5:$H$202,MATCH(EDATE($A10,-12),Sheet1!$A$5:$A$202,0)),"")</x:f>
        <x:v>39078</x:v>
      </x:c>
      <x:c r="F10" s="180" t="n">
        <x:f>IFERROR(INDEX(Sheet1!$J$5:$J$202,MATCH($A10,Sheet1!$A$5:$A$202,0)),"")</x:f>
        <x:v>23622</x:v>
      </x:c>
      <x:c r="G10" s="180" t="n">
        <x:f>IFERROR(INDEX(Sheet1!$J$5:$J$202,MATCH(EDATE($A10,-12),Sheet1!$A$5:$A$202,0)),"")</x:f>
        <x:v>34436</x:v>
      </x:c>
    </x:row>
    <x:row r="11">
      <x:c r="A11" s="107" t="n">
        <x:v>44773</x:v>
      </x:c>
      <x:c r="B11" s="115" t="n">
        <x:f>IF(OR(D11="",E11="",D11=0,E11=0),"",(D11/E11-1)*100)</x:f>
        <x:v>-28.920305746588028</x:v>
      </x:c>
      <x:c r="C11" s="115" t="n">
        <x:f>IF(OR(F11="",G11="",F11=0,G11=0),"",(F11/G11-1)*100)</x:f>
        <x:v>-31.70478421522931</x:v>
      </x:c>
      <x:c r="D11" s="180" t="n">
        <x:f>IFERROR(INDEX(Sheet1!$H$5:$H$202,MATCH($A11,Sheet1!$A$5:$A$202,0)),"")</x:f>
        <x:v>33384</x:v>
      </x:c>
      <x:c r="E11" s="180" t="n">
        <x:f>IFERROR(INDEX(Sheet1!$H$5:$H$202,MATCH(EDATE($A11,-12),Sheet1!$A$5:$A$202,0)),"")</x:f>
        <x:v>46967</x:v>
      </x:c>
      <x:c r="F11" s="180" t="n">
        <x:f>IFERROR(INDEX(Sheet1!$J$5:$J$202,MATCH($A11,Sheet1!$A$5:$A$202,0)),"")</x:f>
        <x:v>28279</x:v>
      </x:c>
      <x:c r="G11" s="180" t="n">
        <x:f>IFERROR(INDEX(Sheet1!$J$5:$J$202,MATCH(EDATE($A11,-12),Sheet1!$A$5:$A$202,0)),"")</x:f>
        <x:v>41407</x:v>
      </x:c>
    </x:row>
    <x:row r="12">
      <x:c r="A12" s="107" t="n">
        <x:v>44804</x:v>
      </x:c>
      <x:c r="B12" s="115" t="n">
        <x:f>IF(OR(D12="",E12="",D12=0,E12=0),"",(D12/E12-1)*100)</x:f>
        <x:v>-25.54150447916861</x:v>
      </x:c>
      <x:c r="C12" s="115" t="n">
        <x:f>IF(OR(F12="",G12="",F12=0,G12=0),"",(F12/G12-1)*100)</x:f>
        <x:v>-28.45680322649119</x:v>
      </x:c>
      <x:c r="D12" s="180" t="n">
        <x:f>IFERROR(INDEX(Sheet1!$H$5:$H$202,MATCH($A12,Sheet1!$A$5:$A$202,0)),"")</x:f>
        <x:v>39979</x:v>
      </x:c>
      <x:c r="E12" s="180" t="n">
        <x:f>IFERROR(INDEX(Sheet1!$H$5:$H$202,MATCH(EDATE($A12,-12),Sheet1!$A$5:$A$202,0)),"")</x:f>
        <x:v>53693</x:v>
      </x:c>
      <x:c r="F12" s="180" t="n">
        <x:f>IFERROR(INDEX(Sheet1!$J$5:$J$202,MATCH($A12,Sheet1!$A$5:$A$202,0)),"")</x:f>
        <x:v>33704</x:v>
      </x:c>
      <x:c r="G12" s="180" t="n">
        <x:f>IFERROR(INDEX(Sheet1!$J$5:$J$202,MATCH(EDATE($A12,-12),Sheet1!$A$5:$A$202,0)),"")</x:f>
        <x:v>47110</x:v>
      </x:c>
    </x:row>
    <x:row r="13">
      <x:c r="A13" s="107" t="n">
        <x:v>44834</x:v>
      </x:c>
      <x:c r="B13" s="115" t="n">
        <x:f>IF(OR(D13="",E13="",D13=0,E13=0),"",(D13/E13-1)*100)</x:f>
        <x:v>-24.77957324068307</x:v>
      </x:c>
      <x:c r="C13" s="115" t="n">
        <x:f>IF(OR(F13="",G13="",F13=0,G13=0),"",(F13/G13-1)*100)</x:f>
        <x:v>-28.204124249543206</x:v>
      </x:c>
      <x:c r="D13" s="180" t="n">
        <x:f>IFERROR(INDEX(Sheet1!$H$5:$H$202,MATCH($A13,Sheet1!$A$5:$A$202,0)),"")</x:f>
        <x:v>45898</x:v>
      </x:c>
      <x:c r="E13" s="180" t="n">
        <x:f>IFERROR(INDEX(Sheet1!$H$5:$H$202,MATCH(EDATE($A13,-12),Sheet1!$A$5:$A$202,0)),"")</x:f>
        <x:v>61018</x:v>
      </x:c>
      <x:c r="F13" s="180" t="n">
        <x:f>IFERROR(INDEX(Sheet1!$J$5:$J$202,MATCH($A13,Sheet1!$A$5:$A$202,0)),"")</x:f>
        <x:v>38507</x:v>
      </x:c>
      <x:c r="G13" s="180" t="n">
        <x:f>IFERROR(INDEX(Sheet1!$J$5:$J$202,MATCH(EDATE($A13,-12),Sheet1!$A$5:$A$202,0)),"")</x:f>
        <x:v>53634</x:v>
      </x:c>
    </x:row>
    <x:row r="14">
      <x:c r="A14" s="107" t="n">
        <x:v>44865</x:v>
      </x:c>
      <x:c r="B14" s="115" t="n">
        <x:f>IF(OR(D14="",E14="",D14=0,E14=0),"",(D14/E14-1)*100)</x:f>
        <x:v>-22.670066262470534</x:v>
      </x:c>
      <x:c r="C14" s="115" t="n">
        <x:f>IF(OR(F14="",G14="",F14=0,G14=0),"",(F14/G14-1)*100)</x:f>
        <x:v>-25.844267403277698</x:v>
      </x:c>
      <x:c r="D14" s="180" t="n">
        <x:f>IFERROR(INDEX(Sheet1!$H$5:$H$202,MATCH($A14,Sheet1!$A$5:$A$202,0)),"")</x:f>
        <x:v>52166</x:v>
      </x:c>
      <x:c r="E14" s="180" t="n">
        <x:f>IFERROR(INDEX(Sheet1!$H$5:$H$202,MATCH(EDATE($A14,-12),Sheet1!$A$5:$A$202,0)),"")</x:f>
        <x:v>67459</x:v>
      </x:c>
      <x:c r="F14" s="180" t="n">
        <x:f>IFERROR(INDEX(Sheet1!$J$5:$J$202,MATCH($A14,Sheet1!$A$5:$A$202,0)),"")</x:f>
        <x:v>44027</x:v>
      </x:c>
      <x:c r="G14" s="180" t="n">
        <x:f>IFERROR(INDEX(Sheet1!$J$5:$J$202,MATCH(EDATE($A14,-12),Sheet1!$A$5:$A$202,0)),"")</x:f>
        <x:v>59371</x:v>
      </x:c>
    </x:row>
    <x:row r="15">
      <x:c r="A15" s="107" t="n">
        <x:v>44895</x:v>
      </x:c>
      <x:c r="B15" s="115" t="n">
        <x:f>IF(OR(D15="",E15="",D15=0,E15=0),"",(D15/E15-1)*100)</x:f>
        <x:v>-21.475187302581777</x:v>
      </x:c>
      <x:c r="C15" s="115" t="n">
        <x:f>IF(OR(F15="",G15="",F15=0,G15=0),"",(F15/G15-1)*100)</x:f>
        <x:v>-24.326802218114608</x:v>
      </x:c>
      <x:c r="D15" s="180" t="n">
        <x:f>IFERROR(INDEX(Sheet1!$H$5:$H$202,MATCH($A15,Sheet1!$A$5:$A$202,0)),"")</x:f>
        <x:v>60161</x:v>
      </x:c>
      <x:c r="E15" s="180" t="n">
        <x:f>IFERROR(INDEX(Sheet1!$H$5:$H$202,MATCH(EDATE($A15,-12),Sheet1!$A$5:$A$202,0)),"")</x:f>
        <x:v>76614</x:v>
      </x:c>
      <x:c r="F15" s="180" t="n">
        <x:f>IFERROR(INDEX(Sheet1!$J$5:$J$202,MATCH($A15,Sheet1!$A$5:$A$202,0)),"")</x:f>
        <x:v>51174</x:v>
      </x:c>
      <x:c r="G15" s="180" t="n">
        <x:f>IFERROR(INDEX(Sheet1!$J$5:$J$202,MATCH(EDATE($A15,-12),Sheet1!$A$5:$A$202,0)),"")</x:f>
        <x:v>67625</x:v>
      </x:c>
    </x:row>
    <x:row r="16">
      <x:c r="A16" s="107" t="n">
        <x:v>44926</x:v>
      </x:c>
      <x:c r="B16" s="115" t="n">
        <x:f>IF(OR(D16="",E16="",D16=0,E16=0),"",(D16/E16-1)*100)</x:f>
        <x:v>-20.551089529094913</x:v>
      </x:c>
      <x:c r="C16" s="115" t="n">
        <x:f>IF(OR(F16="",G16="",F16=0,G16=0),"",(F16/G16-1)*100)</x:f>
        <x:v>-23.2013417421971</x:v>
      </x:c>
      <x:c r="D16" s="180" t="n">
        <x:f>IFERROR(INDEX(Sheet1!$H$5:$H$202,MATCH($A16,Sheet1!$A$5:$A$202,0)),"")</x:f>
        <x:v>77879</x:v>
      </x:c>
      <x:c r="E16" s="180" t="n">
        <x:f>IFERROR(INDEX(Sheet1!$H$5:$H$202,MATCH(EDATE($A16,-12),Sheet1!$A$5:$A$202,0)),"")</x:f>
        <x:v>98024</x:v>
      </x:c>
      <x:c r="F16" s="180" t="n">
        <x:f>IFERROR(INDEX(Sheet1!$J$5:$J$202,MATCH($A16,Sheet1!$A$5:$A$202,0)),"")</x:f>
        <x:v>66854</x:v>
      </x:c>
      <x:c r="G16" s="180" t="n">
        <x:f>IFERROR(INDEX(Sheet1!$J$5:$J$202,MATCH(EDATE($A16,-12),Sheet1!$A$5:$A$202,0)),"")</x:f>
        <x:v>87051</x:v>
      </x:c>
    </x:row>
    <x:row r="17">
      <x:c r="A17" s="107" t="n">
        <x:v>44957</x:v>
      </x:c>
      <x:c r="B17" s="115" t="str">
        <x:f>IF(OR(D17="",E17="",D17=0,E17=0),"",(D17/E17-1)*100)</x:f>
      </x:c>
      <x:c r="C17" s="115" t="str">
        <x:f>IF(OR(F17="",G17="",F17=0,G17=0),"",(F17/G17-1)*100)</x:f>
      </x:c>
      <x:c r="D17" s="180" t="n">
        <x:f>IFERROR(INDEX(Sheet1!$H$5:$H$202,MATCH($A17,Sheet1!$A$5:$A$202,0)),"")</x:f>
        <x:v>0</x:v>
      </x:c>
      <x:c r="E17" s="180" t="n">
        <x:f>IFERROR(INDEX(Sheet1!$H$5:$H$202,MATCH(EDATE($A17,-12),Sheet1!$A$5:$A$202,0)),"")</x:f>
        <x:v>0</x:v>
      </x:c>
      <x:c r="F17" s="180" t="n">
        <x:f>IFERROR(INDEX(Sheet1!$J$5:$J$202,MATCH($A17,Sheet1!$A$5:$A$202,0)),"")</x:f>
        <x:v>0</x:v>
      </x:c>
      <x:c r="G17" s="180" t="n">
        <x:f>IFERROR(INDEX(Sheet1!$J$5:$J$202,MATCH(EDATE($A17,-12),Sheet1!$A$5:$A$202,0)),"")</x:f>
        <x:v>0</x:v>
      </x:c>
    </x:row>
    <x:row r="18">
      <x:c r="A18" s="107" t="n">
        <x:v>44985</x:v>
      </x:c>
      <x:c r="B18" s="115" t="n">
        <x:f>IF(OR(D18="",E18="",D18=0,E18=0),"",(D18/E18-1)*100)</x:f>
        <x:v>-23.954580194344366</x:v>
      </x:c>
      <x:c r="C18" s="115" t="n">
        <x:f>IF(OR(F18="",G18="",F18=0,G18=0),"",(F18/G18-1)*100)</x:f>
        <x:v>-28.96995708154506</x:v>
      </x:c>
      <x:c r="D18" s="180" t="n">
        <x:f>IFERROR(INDEX(Sheet1!$H$5:$H$202,MATCH($A18,Sheet1!$A$5:$A$202,0)),"")</x:f>
        <x:v>6965</x:v>
      </x:c>
      <x:c r="E18" s="180" t="n">
        <x:f>IFERROR(INDEX(Sheet1!$H$5:$H$202,MATCH(EDATE($A18,-12),Sheet1!$A$5:$A$202,0)),"")</x:f>
        <x:v>9159</x:v>
      </x:c>
      <x:c r="F18" s="180" t="n">
        <x:f>IFERROR(INDEX(Sheet1!$J$5:$J$202,MATCH($A18,Sheet1!$A$5:$A$202,0)),"")</x:f>
        <x:v>5627</x:v>
      </x:c>
      <x:c r="G18" s="180" t="n">
        <x:f>IFERROR(INDEX(Sheet1!$J$5:$J$202,MATCH(EDATE($A18,-12),Sheet1!$A$5:$A$202,0)),"")</x:f>
        <x:v>7922</x:v>
      </x:c>
    </x:row>
    <x:row r="19">
      <x:c r="A19" s="107" t="n">
        <x:v>45016</x:v>
      </x:c>
      <x:c r="B19" s="115" t="n">
        <x:f>IF(OR(D19="",E19="",D19=0,E19=0),"",(D19/E19-1)*100)</x:f>
        <x:v>-21.795983239416273</x:v>
      </x:c>
      <x:c r="C19" s="115" t="n">
        <x:f>IF(OR(F19="",G19="",F19=0,G19=0),"",(F19/G19-1)*100)</x:f>
        <x:v>-27.011205887272116</x:v>
      </x:c>
      <x:c r="D19" s="180" t="n">
        <x:f>IFERROR(INDEX(Sheet1!$H$5:$H$202,MATCH($A19,Sheet1!$A$5:$A$202,0)),"")</x:f>
        <x:v>10825</x:v>
      </x:c>
      <x:c r="E19" s="180" t="n">
        <x:f>IFERROR(INDEX(Sheet1!$H$5:$H$202,MATCH(EDATE($A19,-12),Sheet1!$A$5:$A$202,0)),"")</x:f>
        <x:v>13842</x:v>
      </x:c>
      <x:c r="F19" s="180" t="n">
        <x:f>IFERROR(INDEX(Sheet1!$J$5:$J$202,MATCH($A19,Sheet1!$A$5:$A$202,0)),"")</x:f>
        <x:v>8728</x:v>
      </x:c>
      <x:c r="G19" s="180" t="n">
        <x:f>IFERROR(INDEX(Sheet1!$J$5:$J$202,MATCH(EDATE($A19,-12),Sheet1!$A$5:$A$202,0)),"")</x:f>
        <x:v>11958</x:v>
      </x:c>
    </x:row>
    <x:row r="20">
      <x:c r="A20" s="107" t="n">
        <x:v>45046</x:v>
      </x:c>
      <x:c r="B20" s="115" t="n">
        <x:f>IF(OR(D20="",E20="",D20=0,E20=0),"",(D20/E20-1)*100)</x:f>
        <x:v>-16.874466268146882</x:v>
      </x:c>
      <x:c r="C20" s="115" t="n">
        <x:f>IF(OR(F20="",G20="",F20=0,G20=0),"",(F20/G20-1)*100)</x:f>
        <x:v>-21.656008526512128</x:v>
      </x:c>
      <x:c r="D20" s="180" t="n">
        <x:f>IFERROR(INDEX(Sheet1!$H$5:$H$202,MATCH($A20,Sheet1!$A$5:$A$202,0)),"")</x:f>
        <x:v>14601</x:v>
      </x:c>
      <x:c r="E20" s="180" t="n">
        <x:f>IFERROR(INDEX(Sheet1!$H$5:$H$202,MATCH(EDATE($A20,-12),Sheet1!$A$5:$A$202,0)),"")</x:f>
        <x:v>17565</x:v>
      </x:c>
      <x:c r="F20" s="180" t="n">
        <x:f>IFERROR(INDEX(Sheet1!$J$5:$J$202,MATCH($A20,Sheet1!$A$5:$A$202,0)),"")</x:f>
        <x:v>11761</x:v>
      </x:c>
      <x:c r="G20" s="180" t="n">
        <x:f>IFERROR(INDEX(Sheet1!$J$5:$J$202,MATCH(EDATE($A20,-12),Sheet1!$A$5:$A$202,0)),"")</x:f>
        <x:v>15012</x:v>
      </x:c>
    </x:row>
    <x:row r="21">
      <x:c r="A21" s="107" t="n">
        <x:v>45077</x:v>
      </x:c>
      <x:c r="B21" s="115" t="n">
        <x:f>IF(OR(D21="",E21="",D21=0,E21=0),"",(D21/E21-1)*100)</x:f>
        <x:v>-14.994532531437944</x:v>
      </x:c>
      <x:c r="C21" s="115" t="n">
        <x:f>IF(OR(F21="",G21="",F21=0,G21=0),"",(F21/G21-1)*100)</x:f>
        <x:v>-19.986031268468274</x:v>
      </x:c>
      <x:c r="D21" s="180" t="n">
        <x:f>IFERROR(INDEX(Sheet1!$H$5:$H$202,MATCH($A21,Sheet1!$A$5:$A$202,0)),"")</x:f>
        <x:v>18657</x:v>
      </x:c>
      <x:c r="E21" s="180" t="n">
        <x:f>IFERROR(INDEX(Sheet1!$H$5:$H$202,MATCH(EDATE($A21,-12),Sheet1!$A$5:$A$202,0)),"")</x:f>
        <x:v>21948</x:v>
      </x:c>
      <x:c r="F21" s="180" t="n">
        <x:f>IFERROR(INDEX(Sheet1!$J$5:$J$202,MATCH($A21,Sheet1!$A$5:$A$202,0)),"")</x:f>
        <x:v>14893</x:v>
      </x:c>
      <x:c r="G21" s="180" t="n">
        <x:f>IFERROR(INDEX(Sheet1!$J$5:$J$202,MATCH(EDATE($A21,-12),Sheet1!$A$5:$A$202,0)),"")</x:f>
        <x:v>18613</x:v>
      </x:c>
    </x:row>
    <x:row r="22">
      <x:c r="A22" s="107" t="n">
        <x:v>45107</x:v>
      </x:c>
      <x:c r="B22" s="115" t="n">
        <x:f>IF(OR(D22="",E22="",D22=0,E22=0),"",(D22/E22-1)*100)</x:f>
        <x:v>-15.953947368421051</x:v>
      </x:c>
      <x:c r="C22" s="115" t="n">
        <x:f>IF(OR(F22="",G22="",F22=0,G22=0),"",(F22/G22-1)*100)</x:f>
        <x:v>-20.891541783083568</x:v>
      </x:c>
      <x:c r="D22" s="180" t="n">
        <x:f>IFERROR(INDEX(Sheet1!$H$5:$H$202,MATCH($A22,Sheet1!$A$5:$A$202,0)),"")</x:f>
        <x:v>23506</x:v>
      </x:c>
      <x:c r="E22" s="180" t="n">
        <x:f>IFERROR(INDEX(Sheet1!$H$5:$H$202,MATCH(EDATE($A22,-12),Sheet1!$A$5:$A$202,0)),"")</x:f>
        <x:v>27968</x:v>
      </x:c>
      <x:c r="F22" s="180" t="n">
        <x:f>IFERROR(INDEX(Sheet1!$J$5:$J$202,MATCH($A22,Sheet1!$A$5:$A$202,0)),"")</x:f>
        <x:v>18687</x:v>
      </x:c>
      <x:c r="G22" s="180" t="n">
        <x:f>IFERROR(INDEX(Sheet1!$J$5:$J$202,MATCH(EDATE($A22,-12),Sheet1!$A$5:$A$202,0)),"")</x:f>
        <x:v>23622</x:v>
      </x:c>
    </x:row>
    <x:row r="23">
      <x:c r="A23" s="107" t="n">
        <x:v>45138</x:v>
      </x:c>
      <x:c r="B23" s="115" t="n">
        <x:f>IF(OR(D23="",E23="",D23=0,E23=0),"",(D23/E23-1)*100)</x:f>
        <x:v>-14.342199856218551</x:v>
      </x:c>
      <x:c r="C23" s="115" t="n">
        <x:f>IF(OR(F23="",G23="",F23=0,G23=0),"",(F23/G23-1)*100)</x:f>
        <x:v>-19.10958661904594</x:v>
      </x:c>
      <x:c r="D23" s="180" t="n">
        <x:f>IFERROR(INDEX(Sheet1!$H$5:$H$202,MATCH($A23,Sheet1!$A$5:$A$202,0)),"")</x:f>
        <x:v>28596</x:v>
      </x:c>
      <x:c r="E23" s="180" t="n">
        <x:f>IFERROR(INDEX(Sheet1!$H$5:$H$202,MATCH(EDATE($A23,-12),Sheet1!$A$5:$A$202,0)),"")</x:f>
        <x:v>33384</x:v>
      </x:c>
      <x:c r="F23" s="180" t="n">
        <x:f>IFERROR(INDEX(Sheet1!$J$5:$J$202,MATCH($A23,Sheet1!$A$5:$A$202,0)),"")</x:f>
        <x:v>22875</x:v>
      </x:c>
      <x:c r="G23" s="180" t="n">
        <x:f>IFERROR(INDEX(Sheet1!$J$5:$J$202,MATCH(EDATE($A23,-12),Sheet1!$A$5:$A$202,0)),"")</x:f>
        <x:v>28279</x:v>
      </x:c>
    </x:row>
    <x:row r="24">
      <x:c r="A24" s="107" t="n">
        <x:v>45169</x:v>
      </x:c>
      <x:c r="B24" s="115" t="n">
        <x:f>IF(OR(D24="",E24="",D24=0,E24=0),"",(D24/E24-1)*100)</x:f>
        <x:v>-15.02038570249381</x:v>
      </x:c>
      <x:c r="C24" s="115" t="n">
        <x:f>IF(OR(F24="",G24="",F24=0,G24=0),"",(F24/G24-1)*100)</x:f>
        <x:v>-19.605981485877045</x:v>
      </x:c>
      <x:c r="D24" s="180" t="n">
        <x:f>IFERROR(INDEX(Sheet1!$H$5:$H$202,MATCH($A24,Sheet1!$A$5:$A$202,0)),"")</x:f>
        <x:v>33974</x:v>
      </x:c>
      <x:c r="E24" s="180" t="n">
        <x:f>IFERROR(INDEX(Sheet1!$H$5:$H$202,MATCH(EDATE($A24,-12),Sheet1!$A$5:$A$202,0)),"")</x:f>
        <x:v>39979</x:v>
      </x:c>
      <x:c r="F24" s="180" t="n">
        <x:f>IFERROR(INDEX(Sheet1!$J$5:$J$202,MATCH($A24,Sheet1!$A$5:$A$202,0)),"")</x:f>
        <x:v>27096</x:v>
      </x:c>
      <x:c r="G24" s="180" t="n">
        <x:f>IFERROR(INDEX(Sheet1!$J$5:$J$202,MATCH(EDATE($A24,-12),Sheet1!$A$5:$A$202,0)),"")</x:f>
        <x:v>33704</x:v>
      </x:c>
    </x:row>
    <x:row r="25">
      <x:c r="A25" s="107" t="n">
        <x:v>45199</x:v>
      </x:c>
      <x:c r="B25" s="115" t="n">
        <x:f>IF(OR(D25="",E25="",D25=0,E25=0),"",(D25/E25-1)*100)</x:f>
        <x:v>-15.71963919996514</x:v>
      </x:c>
      <x:c r="C25" s="115" t="n">
        <x:f>IF(OR(F25="",G25="",F25=0,G25=0),"",(F25/G25-1)*100)</x:f>
        <x:v>-19.819773028280572</x:v>
      </x:c>
      <x:c r="D25" s="180" t="n">
        <x:f>IFERROR(INDEX(Sheet1!$H$5:$H$202,MATCH($A25,Sheet1!$A$5:$A$202,0)),"")</x:f>
        <x:v>38683</x:v>
      </x:c>
      <x:c r="E25" s="180" t="n">
        <x:f>IFERROR(INDEX(Sheet1!$H$5:$H$202,MATCH(EDATE($A25,-12),Sheet1!$A$5:$A$202,0)),"")</x:f>
        <x:v>45898</x:v>
      </x:c>
      <x:c r="F25" s="180" t="n">
        <x:f>IFERROR(INDEX(Sheet1!$J$5:$J$202,MATCH($A25,Sheet1!$A$5:$A$202,0)),"")</x:f>
        <x:v>30875</x:v>
      </x:c>
      <x:c r="G25" s="180" t="n">
        <x:f>IFERROR(INDEX(Sheet1!$J$5:$J$202,MATCH(EDATE($A25,-12),Sheet1!$A$5:$A$202,0)),"")</x:f>
        <x:v>38507</x:v>
      </x:c>
    </x:row>
    <x:row r="26">
      <x:c r="A26" s="107" t="n">
        <x:v>45230</x:v>
      </x:c>
      <x:c r="B26" s="115" t="n">
        <x:f>IF(OR(D26="",E26="",D26=0,E26=0),"",(D26/E26-1)*100)</x:f>
        <x:v>-16.046850438983252</x:v>
      </x:c>
      <x:c r="C26" s="115" t="n">
        <x:f>IF(OR(F26="",G26="",F26=0,G26=0),"",(F26/G26-1)*100)</x:f>
        <x:v>-20.521498171576535</x:v>
      </x:c>
      <x:c r="D26" s="180" t="n">
        <x:f>IFERROR(INDEX(Sheet1!$H$5:$H$202,MATCH($A26,Sheet1!$A$5:$A$202,0)),"")</x:f>
        <x:v>43795</x:v>
      </x:c>
      <x:c r="E26" s="180" t="n">
        <x:f>IFERROR(INDEX(Sheet1!$H$5:$H$202,MATCH(EDATE($A26,-12),Sheet1!$A$5:$A$202,0)),"")</x:f>
        <x:v>52166</x:v>
      </x:c>
      <x:c r="F26" s="180" t="n">
        <x:f>IFERROR(INDEX(Sheet1!$J$5:$J$202,MATCH($A26,Sheet1!$A$5:$A$202,0)),"")</x:f>
        <x:v>34992</x:v>
      </x:c>
      <x:c r="G26" s="180" t="n">
        <x:f>IFERROR(INDEX(Sheet1!$J$5:$J$202,MATCH(EDATE($A26,-12),Sheet1!$A$5:$A$202,0)),"")</x:f>
        <x:v>44027</x:v>
      </x:c>
    </x:row>
    <x:row r="27">
      <x:c r="A27" s="107" t="n">
        <x:v>45260</x:v>
      </x:c>
      <x:c r="B27" s="115" t="n">
        <x:f>IF(OR(D27="",E27="",D27=0,E27=0),"",(D27/E27-1)*100)</x:f>
        <x:v>-13.758082478682198</x:v>
      </x:c>
      <x:c r="C27" s="115" t="n">
        <x:f>IF(OR(F27="",G27="",F27=0,G27=0),"",(F27/G27-1)*100)</x:f>
        <x:v>-17.866494704342053</x:v>
      </x:c>
      <x:c r="D27" s="180" t="n">
        <x:f>IFERROR(INDEX(Sheet1!$H$5:$H$202,MATCH($A27,Sheet1!$A$5:$A$202,0)),"")</x:f>
        <x:v>51884</x:v>
      </x:c>
      <x:c r="E27" s="180" t="n">
        <x:f>IFERROR(INDEX(Sheet1!$H$5:$H$202,MATCH(EDATE($A27,-12),Sheet1!$A$5:$A$202,0)),"")</x:f>
        <x:v>60161</x:v>
      </x:c>
      <x:c r="F27" s="180" t="n">
        <x:f>IFERROR(INDEX(Sheet1!$J$5:$J$202,MATCH($A27,Sheet1!$A$5:$A$202,0)),"")</x:f>
        <x:v>42031</x:v>
      </x:c>
      <x:c r="G27" s="180" t="n">
        <x:f>IFERROR(INDEX(Sheet1!$J$5:$J$202,MATCH(EDATE($A27,-12),Sheet1!$A$5:$A$202,0)),"")</x:f>
        <x:v>51174</x:v>
      </x:c>
    </x:row>
    <x:row r="28">
      <x:c r="A28" s="107" t="n">
        <x:v>45291</x:v>
      </x:c>
      <x:c r="B28" s="115" t="n">
        <x:f>IF(OR(D28="",E28="",D28=0,E28=0),"",(D28/E28-1)*100)</x:f>
        <x:v>-9.211725882458687</x:v>
      </x:c>
      <x:c r="C28" s="115" t="n">
        <x:f>IF(OR(F28="",G28="",F28=0,G28=0),"",(F28/G28-1)*100)</x:f>
        <x:v>-13.249768151494301</x:v>
      </x:c>
      <x:c r="D28" s="180" t="n">
        <x:f>IFERROR(INDEX(Sheet1!$H$5:$H$202,MATCH($A28,Sheet1!$A$5:$A$202,0)),"")</x:f>
        <x:v>70705</x:v>
      </x:c>
      <x:c r="E28" s="180" t="n">
        <x:f>IFERROR(INDEX(Sheet1!$H$5:$H$202,MATCH(EDATE($A28,-12),Sheet1!$A$5:$A$202,0)),"")</x:f>
        <x:v>77879</x:v>
      </x:c>
      <x:c r="F28" s="180" t="n">
        <x:f>IFERROR(INDEX(Sheet1!$J$5:$J$202,MATCH($A28,Sheet1!$A$5:$A$202,0)),"")</x:f>
        <x:v>57996</x:v>
      </x:c>
      <x:c r="G28" s="180" t="n">
        <x:f>IFERROR(INDEX(Sheet1!$J$5:$J$202,MATCH(EDATE($A28,-12),Sheet1!$A$5:$A$202,0)),"")</x:f>
        <x:v>66854</x:v>
      </x:c>
    </x:row>
    <x:row r="29">
      <x:c r="A29" s="107" t="n">
        <x:v>45322</x:v>
      </x:c>
      <x:c r="B29" s="115" t="str">
        <x:f>IF(OR(D29="",E29="",D29=0,E29=0),"",(D29/E29-1)*100)</x:f>
      </x:c>
      <x:c r="C29" s="115" t="str">
        <x:f>IF(OR(F29="",G29="",F29=0,G29=0),"",(F29/G29-1)*100)</x:f>
      </x:c>
      <x:c r="D29" s="180" t="n">
        <x:f>IFERROR(INDEX(Sheet1!$H$5:$H$202,MATCH($A29,Sheet1!$A$5:$A$202,0)),"")</x:f>
        <x:v>0</x:v>
      </x:c>
      <x:c r="E29" s="180" t="n">
        <x:f>IFERROR(INDEX(Sheet1!$H$5:$H$202,MATCH(EDATE($A29,-12),Sheet1!$A$5:$A$202,0)),"")</x:f>
        <x:v>0</x:v>
      </x:c>
      <x:c r="F29" s="180" t="n">
        <x:f>IFERROR(INDEX(Sheet1!$J$5:$J$202,MATCH($A29,Sheet1!$A$5:$A$202,0)),"")</x:f>
        <x:v>0</x:v>
      </x:c>
      <x:c r="G29" s="180" t="n">
        <x:f>IFERROR(INDEX(Sheet1!$J$5:$J$202,MATCH(EDATE($A29,-12),Sheet1!$A$5:$A$202,0)),"")</x:f>
        <x:v>0</x:v>
      </x:c>
    </x:row>
    <x:row r="30">
      <x:c r="A30" s="107" t="n">
        <x:v>45351</x:v>
      </x:c>
      <x:c r="B30" s="115" t="n">
        <x:f>IF(OR(D30="",E30="",D30=0,E30=0),"",(D30/E30-1)*100)</x:f>
        <x:v>2.641780330222532</x:v>
      </x:c>
      <x:c r="C30" s="115" t="n">
        <x:f>IF(OR(F30="",G30="",F30=0,G30=0),"",(F30/G30-1)*100)</x:f>
        <x:v>-0.03554291807357224</x:v>
      </x:c>
      <x:c r="D30" s="180" t="n">
        <x:f>IFERROR(INDEX(Sheet1!$H$5:$H$202,MATCH($A30,Sheet1!$A$5:$A$202,0)),"")</x:f>
        <x:v>7149</x:v>
      </x:c>
      <x:c r="E30" s="180" t="n">
        <x:f>IFERROR(INDEX(Sheet1!$H$5:$H$202,MATCH(EDATE($A30,-12),Sheet1!$A$5:$A$202,0)),"")</x:f>
        <x:v>6965</x:v>
      </x:c>
      <x:c r="F30" s="180" t="n">
        <x:f>IFERROR(INDEX(Sheet1!$J$5:$J$202,MATCH($A30,Sheet1!$A$5:$A$202,0)),"")</x:f>
        <x:v>5625</x:v>
      </x:c>
      <x:c r="G30" s="180" t="n">
        <x:f>IFERROR(INDEX(Sheet1!$J$5:$J$202,MATCH(EDATE($A30,-12),Sheet1!$A$5:$A$202,0)),"")</x:f>
        <x:v>5627</x:v>
      </x:c>
    </x:row>
    <x:row r="31">
      <x:c r="A31" s="107" t="n">
        <x:v>45382</x:v>
      </x:c>
      <x:c r="B31" s="115" t="n">
        <x:f>IF(OR(D31="",E31="",D31=0,E31=0),"",(D31/E31-1)*100)</x:f>
        <x:v>-3.98152424942263</x:v>
      </x:c>
      <x:c r="C31" s="115" t="n">
        <x:f>IF(OR(F31="",G31="",F31=0,G31=0),"",(F31/G31-1)*100)</x:f>
        <x:v>-6.656736938588448</x:v>
      </x:c>
      <x:c r="D31" s="180" t="n">
        <x:f>IFERROR(INDEX(Sheet1!$H$5:$H$202,MATCH($A31,Sheet1!$A$5:$A$202,0)),"")</x:f>
        <x:v>10394</x:v>
      </x:c>
      <x:c r="E31" s="180" t="n">
        <x:f>IFERROR(INDEX(Sheet1!$H$5:$H$202,MATCH(EDATE($A31,-12),Sheet1!$A$5:$A$202,0)),"")</x:f>
        <x:v>10825</x:v>
      </x:c>
      <x:c r="F31" s="180" t="n">
        <x:f>IFERROR(INDEX(Sheet1!$J$5:$J$202,MATCH($A31,Sheet1!$A$5:$A$202,0)),"")</x:f>
        <x:v>8147</x:v>
      </x:c>
      <x:c r="G31" s="180" t="n">
        <x:f>IFERROR(INDEX(Sheet1!$J$5:$J$202,MATCH(EDATE($A31,-12),Sheet1!$A$5:$A$202,0)),"")</x:f>
        <x:v>8728</x:v>
      </x:c>
    </x:row>
    <x:row r="32">
      <x:c r="A32" s="107" t="n">
        <x:v>45412</x:v>
      </x:c>
      <x:c r="B32" s="115" t="n">
        <x:f>IF(OR(D32="",E32="",D32=0,E32=0),"",(D32/E32-1)*100)</x:f>
        <x:v>-7.650160947880281</x:v>
      </x:c>
      <x:c r="C32" s="115" t="n">
        <x:f>IF(OR(F32="",G32="",F32=0,G32=0),"",(F32/G32-1)*100)</x:f>
        <x:v>-10.415780971005862</x:v>
      </x:c>
      <x:c r="D32" s="180" t="n">
        <x:f>IFERROR(INDEX(Sheet1!$H$5:$H$202,MATCH($A32,Sheet1!$A$5:$A$202,0)),"")</x:f>
        <x:v>13484</x:v>
      </x:c>
      <x:c r="E32" s="180" t="n">
        <x:f>IFERROR(INDEX(Sheet1!$H$5:$H$202,MATCH(EDATE($A32,-12),Sheet1!$A$5:$A$202,0)),"")</x:f>
        <x:v>14601</x:v>
      </x:c>
      <x:c r="F32" s="180" t="n">
        <x:f>IFERROR(INDEX(Sheet1!$J$5:$J$202,MATCH($A32,Sheet1!$A$5:$A$202,0)),"")</x:f>
        <x:v>10536</x:v>
      </x:c>
      <x:c r="G32" s="180" t="n">
        <x:f>IFERROR(INDEX(Sheet1!$J$5:$J$202,MATCH(EDATE($A32,-12),Sheet1!$A$5:$A$202,0)),"")</x:f>
        <x:v>11761</x:v>
      </x:c>
    </x:row>
    <x:row r="33">
      <x:c r="A33" s="107" t="n">
        <x:v>45443</x:v>
      </x:c>
      <x:c r="B33" s="115" t="n">
        <x:f>IF(OR(D33="",E33="",D33=0,E33=0),"",(D33/E33-1)*100)</x:f>
        <x:v>-10.821675510532236</x:v>
      </x:c>
      <x:c r="C33" s="115" t="n">
        <x:f>IF(OR(F33="",G33="",F33=0,G33=0),"",(F33/G33-1)*100)</x:f>
        <x:v>-13.986436580944073</x:v>
      </x:c>
      <x:c r="D33" s="180" t="n">
        <x:f>IFERROR(INDEX(Sheet1!$H$5:$H$202,MATCH($A33,Sheet1!$A$5:$A$202,0)),"")</x:f>
        <x:v>16638</x:v>
      </x:c>
      <x:c r="E33" s="180" t="n">
        <x:f>IFERROR(INDEX(Sheet1!$H$5:$H$202,MATCH(EDATE($A33,-12),Sheet1!$A$5:$A$202,0)),"")</x:f>
        <x:v>18657</x:v>
      </x:c>
      <x:c r="F33" s="180" t="n">
        <x:f>IFERROR(INDEX(Sheet1!$J$5:$J$202,MATCH($A33,Sheet1!$A$5:$A$202,0)),"")</x:f>
        <x:v>12810</x:v>
      </x:c>
      <x:c r="G33" s="180" t="n">
        <x:f>IFERROR(INDEX(Sheet1!$J$5:$J$202,MATCH(EDATE($A33,-12),Sheet1!$A$5:$A$202,0)),"")</x:f>
        <x:v>14893</x:v>
      </x:c>
    </x:row>
    <x:row r="34">
      <x:c r="A34" s="107" t="n">
        <x:v>45473</x:v>
      </x:c>
      <x:c r="B34" s="115" t="n">
        <x:f>IF(OR(D34="",E34="",D34=0,E34=0),"",(D34/E34-1)*100)</x:f>
        <x:v>-15.276950565812985</x:v>
      </x:c>
      <x:c r="C34" s="115" t="n">
        <x:f>IF(OR(F34="",G34="",F34=0,G34=0),"",(F34/G34-1)*100)</x:f>
        <x:v>-18.322898271525656</x:v>
      </x:c>
      <x:c r="D34" s="180" t="n">
        <x:f>IFERROR(INDEX(Sheet1!$H$5:$H$202,MATCH($A34,Sheet1!$A$5:$A$202,0)),"")</x:f>
        <x:v>19915</x:v>
      </x:c>
      <x:c r="E34" s="180" t="n">
        <x:f>IFERROR(INDEX(Sheet1!$H$5:$H$202,MATCH(EDATE($A34,-12),Sheet1!$A$5:$A$202,0)),"")</x:f>
        <x:v>23506</x:v>
      </x:c>
      <x:c r="F34" s="180" t="n">
        <x:f>IFERROR(INDEX(Sheet1!$J$5:$J$202,MATCH($A34,Sheet1!$A$5:$A$202,0)),"")</x:f>
        <x:v>15263</x:v>
      </x:c>
      <x:c r="G34" s="180" t="n">
        <x:f>IFERROR(INDEX(Sheet1!$J$5:$J$202,MATCH(EDATE($A34,-12),Sheet1!$A$5:$A$202,0)),"")</x:f>
        <x:v>18687</x:v>
      </x:c>
    </x:row>
    <x:row r="35">
      <x:c r="A35" s="107" t="n">
        <x:v>45504</x:v>
      </x:c>
      <x:c r="B35" s="115" t="n">
        <x:f>IF(OR(D35="",E35="",D35=0,E35=0),"",(D35/E35-1)*100)</x:f>
        <x:v>-18.537557700377672</x:v>
      </x:c>
      <x:c r="C35" s="115" t="n">
        <x:f>IF(OR(F35="",G35="",F35=0,G35=0),"",(F35/G35-1)*100)</x:f>
        <x:v>-22.347540983606564</x:v>
      </x:c>
      <x:c r="D35" s="180" t="n">
        <x:f>IFERROR(INDEX(Sheet1!$H$5:$H$202,MATCH($A35,Sheet1!$A$5:$A$202,0)),"")</x:f>
        <x:v>23295</x:v>
      </x:c>
      <x:c r="E35" s="180" t="n">
        <x:f>IFERROR(INDEX(Sheet1!$H$5:$H$202,MATCH(EDATE($A35,-12),Sheet1!$A$5:$A$202,0)),"")</x:f>
        <x:v>28596</x:v>
      </x:c>
      <x:c r="F35" s="180" t="n">
        <x:f>IFERROR(INDEX(Sheet1!$J$5:$J$202,MATCH($A35,Sheet1!$A$5:$A$202,0)),"")</x:f>
        <x:v>17763</x:v>
      </x:c>
      <x:c r="G35" s="180" t="n">
        <x:f>IFERROR(INDEX(Sheet1!$J$5:$J$202,MATCH(EDATE($A35,-12),Sheet1!$A$5:$A$202,0)),"")</x:f>
        <x:v>22875</x:v>
      </x:c>
    </x:row>
    <x:row r="36">
      <x:c r="A36" s="107" t="n">
        <x:v>45535</x:v>
      </x:c>
      <x:c r="B36" s="115" t="n">
        <x:f>IF(OR(D36="",E36="",D36=0,E36=0),"",(D36/E36-1)*100)</x:f>
        <x:v>-21.05433566845235</x:v>
      </x:c>
      <x:c r="C36" s="115" t="n">
        <x:f>IF(OR(F36="",G36="",F36=0,G36=0),"",(F36/G36-1)*100)</x:f>
        <x:v>-25.383820490109244</x:v>
      </x:c>
      <x:c r="D36" s="180" t="n">
        <x:f>IFERROR(INDEX(Sheet1!$H$5:$H$202,MATCH($A36,Sheet1!$A$5:$A$202,0)),"")</x:f>
        <x:v>26821</x:v>
      </x:c>
      <x:c r="E36" s="180" t="n">
        <x:f>IFERROR(INDEX(Sheet1!$H$5:$H$202,MATCH(EDATE($A36,-12),Sheet1!$A$5:$A$202,0)),"")</x:f>
        <x:v>33974</x:v>
      </x:c>
      <x:c r="F36" s="180" t="n">
        <x:f>IFERROR(INDEX(Sheet1!$J$5:$J$202,MATCH($A36,Sheet1!$A$5:$A$202,0)),"")</x:f>
        <x:v>20218</x:v>
      </x:c>
      <x:c r="G36" s="180" t="n">
        <x:f>IFERROR(INDEX(Sheet1!$J$5:$J$202,MATCH(EDATE($A36,-12),Sheet1!$A$5:$A$202,0)),"")</x:f>
        <x:v>27096</x:v>
      </x:c>
    </x:row>
    <x:row r="37">
      <x:c r="A37" s="107" t="n">
        <x:v>45565</x:v>
      </x:c>
      <x:c r="B37" s="115" t="n">
        <x:f>IF(OR(D37="",E37="",D37=0,E37=0),"",(D37/E37-1)*100)</x:f>
        <x:v>-20.220768813173752</x:v>
      </x:c>
      <x:c r="C37" s="115" t="n">
        <x:f>IF(OR(F37="",G37="",F37=0,G37=0),"",(F37/G37-1)*100)</x:f>
        <x:v>-24.576518218623477</x:v>
      </x:c>
      <x:c r="D37" s="180" t="n">
        <x:f>IFERROR(INDEX(Sheet1!$H$5:$H$202,MATCH($A37,Sheet1!$A$5:$A$202,0)),"")</x:f>
        <x:v>30861</x:v>
      </x:c>
      <x:c r="E37" s="180" t="n">
        <x:f>IFERROR(INDEX(Sheet1!$H$5:$H$202,MATCH(EDATE($A37,-12),Sheet1!$A$5:$A$202,0)),"")</x:f>
        <x:v>38683</x:v>
      </x:c>
      <x:c r="F37" s="180" t="n">
        <x:f>IFERROR(INDEX(Sheet1!$J$5:$J$202,MATCH($A37,Sheet1!$A$5:$A$202,0)),"")</x:f>
        <x:v>23287</x:v>
      </x:c>
      <x:c r="G37" s="180" t="n">
        <x:f>IFERROR(INDEX(Sheet1!$J$5:$J$202,MATCH(EDATE($A37,-12),Sheet1!$A$5:$A$202,0)),"")</x:f>
        <x:v>30875</x:v>
      </x:c>
    </x:row>
    <x:row r="38">
      <x:c r="A38" s="107" t="n">
        <x:v>45596</x:v>
      </x:c>
      <x:c r="B38" s="115" t="n">
        <x:f>IF(OR(D38="",E38="",D38=0,E38=0),"",(D38/E38-1)*100)</x:f>
        <x:v>-19.02728621988812</x:v>
      </x:c>
      <x:c r="C38" s="115" t="n">
        <x:f>IF(OR(F38="",G38="",F38=0,G38=0),"",(F38/G38-1)*100)</x:f>
        <x:v>-22.92238225880201</x:v>
      </x:c>
      <x:c r="D38" s="180" t="n">
        <x:f>IFERROR(INDEX(Sheet1!$H$5:$H$202,MATCH($A38,Sheet1!$A$5:$A$202,0)),"")</x:f>
        <x:v>35462</x:v>
      </x:c>
      <x:c r="E38" s="180" t="n">
        <x:f>IFERROR(INDEX(Sheet1!$H$5:$H$202,MATCH(EDATE($A38,-12),Sheet1!$A$5:$A$202,0)),"")</x:f>
        <x:v>43795</x:v>
      </x:c>
      <x:c r="F38" s="180" t="n">
        <x:f>IFERROR(INDEX(Sheet1!$J$5:$J$202,MATCH($A38,Sheet1!$A$5:$A$202,0)),"")</x:f>
        <x:v>26971</x:v>
      </x:c>
      <x:c r="G38" s="180" t="n">
        <x:f>IFERROR(INDEX(Sheet1!$J$5:$J$202,MATCH(EDATE($A38,-12),Sheet1!$A$5:$A$202,0)),"")</x:f>
        <x:v>34992</x:v>
      </x:c>
    </x:row>
    <x:row r="39">
      <x:c r="A39" s="107" t="n">
        <x:v>45626</x:v>
      </x:c>
      <x:c r="B39" s="115" t="n">
        <x:f>IF(OR(D39="",E39="",D39=0,E39=0),"",(D39/E39-1)*100)</x:f>
        <x:v>-18.379461876493718</x:v>
      </x:c>
      <x:c r="C39" s="115" t="n">
        <x:f>IF(OR(F39="",G39="",F39=0,G39=0),"",(F39/G39-1)*100)</x:f>
        <x:v>-22.376341271918342</x:v>
      </x:c>
      <x:c r="D39" s="180" t="n">
        <x:f>IFERROR(INDEX(Sheet1!$H$5:$H$202,MATCH($A39,Sheet1!$A$5:$A$202,0)),"")</x:f>
        <x:v>42348</x:v>
      </x:c>
      <x:c r="E39" s="180" t="n">
        <x:f>IFERROR(INDEX(Sheet1!$H$5:$H$202,MATCH(EDATE($A39,-12),Sheet1!$A$5:$A$202,0)),"")</x:f>
        <x:v>51884</x:v>
      </x:c>
      <x:c r="F39" s="180" t="n">
        <x:f>IFERROR(INDEX(Sheet1!$J$5:$J$202,MATCH($A39,Sheet1!$A$5:$A$202,0)),"")</x:f>
        <x:v>32626</x:v>
      </x:c>
      <x:c r="G39" s="180" t="n">
        <x:f>IFERROR(INDEX(Sheet1!$J$5:$J$202,MATCH(EDATE($A39,-12),Sheet1!$A$5:$A$202,0)),"")</x:f>
        <x:v>42031</x:v>
      </x:c>
    </x:row>
    <x:row r="40">
      <x:c r="A40" s="107" t="n">
        <x:v>45657</x:v>
      </x:c>
      <x:c r="B40" s="115" t="n">
        <x:f>IF(OR(D40="",E40="",D40=0,E40=0),"",(D40/E40-1)*100)</x:f>
        <x:v>-12.18442825825613</x:v>
      </x:c>
      <x:c r="C40" s="115" t="n">
        <x:f>IF(OR(F40="",G40="",F40=0,G40=0),"",(F40/G40-1)*100)</x:f>
        <x:v>-16.030415890751083</x:v>
      </x:c>
      <x:c r="D40" s="180" t="n">
        <x:f>IFERROR(INDEX(Sheet1!$H$5:$H$202,MATCH($A40,Sheet1!$A$5:$A$202,0)),"")</x:f>
        <x:v>62090</x:v>
      </x:c>
      <x:c r="E40" s="180" t="n">
        <x:f>IFERROR(INDEX(Sheet1!$H$5:$H$202,MATCH(EDATE($A40,-12),Sheet1!$A$5:$A$202,0)),"")</x:f>
        <x:v>70705</x:v>
      </x:c>
      <x:c r="F40" s="180" t="n">
        <x:f>IFERROR(INDEX(Sheet1!$J$5:$J$202,MATCH($A40,Sheet1!$A$5:$A$202,0)),"")</x:f>
        <x:v>48699</x:v>
      </x:c>
      <x:c r="G40" s="180" t="n">
        <x:f>IFERROR(INDEX(Sheet1!$J$5:$J$202,MATCH(EDATE($A40,-12),Sheet1!$A$5:$A$202,0)),"")</x:f>
        <x:v>57996</x:v>
      </x:c>
    </x:row>
    <x:row r="41">
      <x:c r="A41" s="107" t="n">
        <x:v>45688</x:v>
      </x:c>
      <x:c r="B41" s="115" t="str">
        <x:f>IF(OR(D41="",E41="",D41=0,E41=0),"",(D41/E41-1)*100)</x:f>
      </x:c>
      <x:c r="C41" s="115" t="str">
        <x:f>IF(OR(F41="",G41="",F41=0,G41=0),"",(F41/G41-1)*100)</x:f>
      </x:c>
      <x:c r="D41" s="180" t="n">
        <x:f>IFERROR(INDEX(Sheet1!$H$5:$H$202,MATCH($A41,Sheet1!$A$5:$A$202,0)),"")</x:f>
        <x:v>0</x:v>
      </x:c>
      <x:c r="E41" s="180" t="n">
        <x:f>IFERROR(INDEX(Sheet1!$H$5:$H$202,MATCH(EDATE($A41,-12),Sheet1!$A$5:$A$202,0)),"")</x:f>
        <x:v>0</x:v>
      </x:c>
      <x:c r="F41" s="180" t="n">
        <x:f>IFERROR(INDEX(Sheet1!$J$5:$J$202,MATCH($A41,Sheet1!$A$5:$A$202,0)),"")</x:f>
        <x:v>0</x:v>
      </x:c>
      <x:c r="G41" s="180" t="n">
        <x:f>IFERROR(INDEX(Sheet1!$J$5:$J$202,MATCH(EDATE($A41,-12),Sheet1!$A$5:$A$202,0)),"")</x:f>
        <x:v>0</x:v>
      </x:c>
    </x:row>
    <x:row r="42">
      <x:c r="A42" s="107" t="n">
        <x:v>45716</x:v>
      </x:c>
      <x:c r="B42" s="115" t="str">
        <x:f>IF(OR(D42="",E42="",D42=0,E42=0),"",(D42/E42-1)*100)</x:f>
      </x:c>
      <x:c r="C42" s="115" t="str">
        <x:f>IF(OR(F42="",G42="",F42=0,G42=0),"",(F42/G42-1)*100)</x:f>
      </x:c>
      <x:c r="D42" s="180" t="n">
        <x:f>IFERROR(INDEX(Sheet1!$H$5:$H$202,MATCH($A42,Sheet1!$A$5:$A$202,0)),"")</x:f>
        <x:v>6381</x:v>
      </x:c>
      <x:c r="E42" s="180" t="str">
        <x:f>IFERROR(INDEX(Sheet1!$H$5:$H$202,MATCH(EDATE($A42,-12),Sheet1!$A$5:$A$202,0)),"")</x:f>
      </x:c>
      <x:c r="F42" s="180" t="n">
        <x:f>IFERROR(INDEX(Sheet1!$J$5:$J$202,MATCH($A42,Sheet1!$A$5:$A$202,0)),"")</x:f>
        <x:v>4744</x:v>
      </x:c>
      <x:c r="G42" s="180" t="str">
        <x:f>IFERROR(INDEX(Sheet1!$J$5:$J$202,MATCH(EDATE($A42,-12),Sheet1!$A$5:$A$202,0)),"")</x:f>
      </x:c>
    </x:row>
    <x:row r="43">
      <x:c r="A43" s="107" t="n">
        <x:v>45747</x:v>
      </x:c>
      <x:c r="B43" s="115" t="n">
        <x:f>IF(OR(D43="",E43="",D43=0,E43=0),"",(D43/E43-1)*100)</x:f>
        <x:v>-11.035212622666924</x:v>
      </x:c>
      <x:c r="C43" s="115" t="n">
        <x:f>IF(OR(F43="",G43="",F43=0,G43=0),"",(F43/G43-1)*100)</x:f>
        <x:v>-15.93224499815883</x:v>
      </x:c>
      <x:c r="D43" s="180" t="n">
        <x:f>IFERROR(INDEX(Sheet1!$H$5:$H$202,MATCH($A43,Sheet1!$A$5:$A$202,0)),"")</x:f>
        <x:v>9247</x:v>
      </x:c>
      <x:c r="E43" s="180" t="n">
        <x:f>IFERROR(INDEX(Sheet1!$H$5:$H$202,MATCH(EDATE($A43,-12),Sheet1!$A$5:$A$202,0)),"")</x:f>
        <x:v>10394</x:v>
      </x:c>
      <x:c r="F43" s="180" t="n">
        <x:f>IFERROR(INDEX(Sheet1!$J$5:$J$202,MATCH($A43,Sheet1!$A$5:$A$202,0)),"")</x:f>
        <x:v>6849</x:v>
      </x:c>
      <x:c r="G43" s="180" t="n">
        <x:f>IFERROR(INDEX(Sheet1!$J$5:$J$202,MATCH(EDATE($A43,-12),Sheet1!$A$5:$A$202,0)),"")</x:f>
        <x:v>8147</x:v>
      </x:c>
    </x:row>
    <x:row r="44">
      <x:c r="A44" s="107" t="n">
        <x:v>45777</x:v>
      </x:c>
      <x:c r="B44" s="115" t="n">
        <x:f>IF(OR(D44="",E44="",D44=0,E44=0),"",(D44/E44-1)*100)</x:f>
        <x:v>-6.659744882824093</x:v>
      </x:c>
      <x:c r="C44" s="115" t="n">
        <x:f>IF(OR(F44="",G44="",F44=0,G44=0),"",(F44/G44-1)*100)</x:f>
        <x:v>-11.351556567957477</x:v>
      </x:c>
      <x:c r="D44" s="180" t="n">
        <x:f>IFERROR(INDEX(Sheet1!$H$5:$H$202,MATCH($A44,Sheet1!$A$5:$A$202,0)),"")</x:f>
        <x:v>12586</x:v>
      </x:c>
      <x:c r="E44" s="180" t="n">
        <x:f>IFERROR(INDEX(Sheet1!$H$5:$H$202,MATCH(EDATE($A44,-12),Sheet1!$A$5:$A$202,0)),"")</x:f>
        <x:v>13484</x:v>
      </x:c>
      <x:c r="F44" s="180" t="n">
        <x:f>IFERROR(INDEX(Sheet1!$J$5:$J$202,MATCH($A44,Sheet1!$A$5:$A$202,0)),"")</x:f>
        <x:v>9340</x:v>
      </x:c>
      <x:c r="G44" s="180" t="n">
        <x:f>IFERROR(INDEX(Sheet1!$J$5:$J$202,MATCH(EDATE($A44,-12),Sheet1!$A$5:$A$202,0)),"")</x:f>
        <x:v>10536</x:v>
      </x:c>
    </x:row>
    <x:row r="45">
      <x:c r="A45" s="107" t="n">
        <x:v>45808</x:v>
      </x:c>
      <x:c r="B45" s="115" t="n">
        <x:f>IF(OR(D45="",E45="",D45=0,E45=0),"",(D45/E45-1)*100)</x:f>
        <x:v>-6.9419401370356955</x:v>
      </x:c>
      <x:c r="C45" s="115" t="n">
        <x:f>IF(OR(F45="",G45="",F45=0,G45=0),"",(F45/G45-1)*100)</x:f>
        <x:v>-11.935987509758005</x:v>
      </x:c>
      <x:c r="D45" s="180" t="n">
        <x:f>IFERROR(INDEX(Sheet1!$H$5:$H$202,MATCH($A45,Sheet1!$A$5:$A$202,0)),"")</x:f>
        <x:v>15483</x:v>
      </x:c>
      <x:c r="E45" s="180" t="n">
        <x:f>IFERROR(INDEX(Sheet1!$H$5:$H$202,MATCH(EDATE($A45,-12),Sheet1!$A$5:$A$202,0)),"")</x:f>
        <x:v>16638</x:v>
      </x:c>
      <x:c r="F45" s="180" t="n">
        <x:f>IFERROR(INDEX(Sheet1!$J$5:$J$202,MATCH($A45,Sheet1!$A$5:$A$202,0)),"")</x:f>
        <x:v>11281</x:v>
      </x:c>
      <x:c r="G45" s="180" t="n">
        <x:f>IFERROR(INDEX(Sheet1!$J$5:$J$202,MATCH(EDATE($A45,-12),Sheet1!$A$5:$A$202,0)),"")</x:f>
        <x:v>12810</x:v>
      </x:c>
    </x:row>
    <x:row r="46">
      <x:c r="A46" s="107" t="n">
        <x:v>45838</x:v>
      </x:c>
      <x:c r="B46" s="115" t="n">
        <x:f>IF(OR(D46="",E46="",D46=0,E46=0),"",(D46/E46-1)*100)</x:f>
        <x:v>-2.3750941501380907</x:v>
      </x:c>
      <x:c r="C46" s="115" t="n">
        <x:f>IF(OR(F46="",G46="",F46=0,G46=0),"",(F46/G46-1)*100)</x:f>
        <x:v>-6.499377579768062</x:v>
      </x:c>
      <x:c r="D46" s="180" t="n">
        <x:f>IFERROR(INDEX(Sheet1!$H$5:$H$202,MATCH($A46,Sheet1!$A$5:$A$202,0)),"")</x:f>
        <x:v>19442</x:v>
      </x:c>
      <x:c r="E46" s="180" t="n">
        <x:f>IFERROR(INDEX(Sheet1!$H$5:$H$202,MATCH(EDATE($A46,-12),Sheet1!$A$5:$A$202,0)),"")</x:f>
        <x:v>19915</x:v>
      </x:c>
      <x:c r="F46" s="180" t="n">
        <x:f>IFERROR(INDEX(Sheet1!$J$5:$J$202,MATCH($A46,Sheet1!$A$5:$A$202,0)),"")</x:f>
        <x:v>14271</x:v>
      </x:c>
      <x:c r="G46" s="180" t="n">
        <x:f>IFERROR(INDEX(Sheet1!$J$5:$J$202,MATCH(EDATE($A46,-12),Sheet1!$A$5:$A$202,0)),"")</x:f>
        <x:v>15263</x:v>
      </x:c>
    </x:row>
    <x:row r="47">
      <x:c r="A47" s="107" t="n">
        <x:v>45869</x:v>
      </x:c>
      <x:c r="B47" s="115" t="n">
        <x:f>IF(OR(D47="",E47="",D47=0,E47=0),"",(D47/E47-1)*100)</x:f>
        <x:v>-0.7340631036703127</x:v>
      </x:c>
      <x:c r="C47" s="115" t="n">
        <x:f>IF(OR(F47="",G47="",F47=0,G47=0),"",(F47/G47-1)*100)</x:f>
        <x:v>-4.576929572707311</x:v>
      </x:c>
      <x:c r="D47" s="180" t="n">
        <x:f>IFERROR(INDEX(Sheet1!$H$5:$H$202,MATCH($A47,Sheet1!$A$5:$A$202,0)),"")</x:f>
        <x:v>23124</x:v>
      </x:c>
      <x:c r="E47" s="180" t="n">
        <x:f>IFERROR(INDEX(Sheet1!$H$5:$H$202,MATCH(EDATE($A47,-12),Sheet1!$A$5:$A$202,0)),"")</x:f>
        <x:v>23295</x:v>
      </x:c>
      <x:c r="F47" s="180" t="n">
        <x:f>IFERROR(INDEX(Sheet1!$J$5:$J$202,MATCH($A47,Sheet1!$A$5:$A$202,0)),"")</x:f>
        <x:v>16950</x:v>
      </x:c>
      <x:c r="G47" s="180" t="n">
        <x:f>IFERROR(INDEX(Sheet1!$J$5:$J$202,MATCH(EDATE($A47,-12),Sheet1!$A$5:$A$202,0)),"")</x:f>
        <x:v>17763</x:v>
      </x:c>
    </x:row>
    <x:row r="48">
      <x:c r="A48" s="107" t="n">
        <x:v>45900</x:v>
      </x:c>
      <x:c r="B48" s="115" t="n">
        <x:f>IF(OR(D48="",E48="",D48=0,E48=0),"",(D48/E48-1)*100)</x:f>
        <x:v>-1.3869728943738169</x:v>
      </x:c>
      <x:c r="C48" s="115" t="n">
        <x:f>IF(OR(F48="",G48="",F48=0,G48=0),"",(F48/G48-1)*100)</x:f>
        <x:v>-4.723513700662774</x:v>
      </x:c>
      <x:c r="D48" s="180" t="n">
        <x:f>IFERROR(INDEX(Sheet1!$H$5:$H$202,MATCH($A48,Sheet1!$A$5:$A$202,0)),"")</x:f>
        <x:v>26449</x:v>
      </x:c>
      <x:c r="E48" s="180" t="n">
        <x:f>IFERROR(INDEX(Sheet1!$H$5:$H$202,MATCH(EDATE($A48,-12),Sheet1!$A$5:$A$202,0)),"")</x:f>
        <x:v>26821</x:v>
      </x:c>
      <x:c r="F48" s="180" t="n">
        <x:f>IFERROR(INDEX(Sheet1!$J$5:$J$202,MATCH($A48,Sheet1!$A$5:$A$202,0)),"")</x:f>
        <x:v>19263</x:v>
      </x:c>
      <x:c r="G48" s="180" t="n">
        <x:f>IFERROR(INDEX(Sheet1!$J$5:$J$202,MATCH(EDATE($A48,-12),Sheet1!$A$5:$A$202,0)),"")</x:f>
        <x:v>20218</x:v>
      </x:c>
    </x:row>
    <x:row r="49">
      <x:c r="A49" s="107" t="n">
        <x:v>45930</x:v>
      </x:c>
      <x:c r="B49" s="115" t="n">
        <x:f>IF(OR(D49="",E49="",D49=0,E49=0),"",(D49/E49-1)*100)</x:f>
        <x:v>-0.4666083406240862</x:v>
      </x:c>
      <x:c r="C49" s="115" t="n">
        <x:f>IF(OR(F49="",G49="",F49=0,G49=0),"",(F49/G49-1)*100)</x:f>
        <x:v>-4.229827800918972</x:v>
      </x:c>
      <x:c r="D49" s="180" t="n">
        <x:f>IFERROR(INDEX(Sheet1!$H$5:$H$202,MATCH($A49,Sheet1!$A$5:$A$202,0)),"")</x:f>
        <x:v>30717</x:v>
      </x:c>
      <x:c r="E49" s="180" t="n">
        <x:f>IFERROR(INDEX(Sheet1!$H$5:$H$202,MATCH(EDATE($A49,-12),Sheet1!$A$5:$A$202,0)),"")</x:f>
        <x:v>30861</x:v>
      </x:c>
      <x:c r="F49" s="180" t="n">
        <x:f>IFERROR(INDEX(Sheet1!$J$5:$J$202,MATCH($A49,Sheet1!$A$5:$A$202,0)),"")</x:f>
        <x:v>22302</x:v>
      </x:c>
      <x:c r="G49" s="180" t="n">
        <x:f>IFERROR(INDEX(Sheet1!$J$5:$J$202,MATCH(EDATE($A49,-12),Sheet1!$A$5:$A$202,0)),"")</x:f>
        <x:v>23287</x:v>
      </x:c>
    </x:row>
    <x:row r="50">
      <x:c r="A50" s="107" t="n">
        <x:v>45961</x:v>
      </x:c>
      <x:c r="B50" s="115" t="n">
        <x:f>IF(OR(D50="",E50="",D50=0,E50=0),"",(D50/E50-1)*100)</x:f>
        <x:v>-2.7889007952174194</x:v>
      </x:c>
      <x:c r="C50" s="115" t="n">
        <x:f>IF(OR(F50="",G50="",F50=0,G50=0),"",(F50/G50-1)*100)</x:f>
        <x:v>-7.37458751992881</x:v>
      </x:c>
      <x:c r="D50" s="180" t="n">
        <x:f>IFERROR(INDEX(Sheet1!$H$5:$H$202,MATCH($A50,Sheet1!$A$5:$A$202,0)),"")</x:f>
        <x:v>34473</x:v>
      </x:c>
      <x:c r="E50" s="180" t="n">
        <x:f>IFERROR(INDEX(Sheet1!$H$5:$H$202,MATCH(EDATE($A50,-12),Sheet1!$A$5:$A$202,0)),"")</x:f>
        <x:v>35462</x:v>
      </x:c>
      <x:c r="F50" s="180" t="n">
        <x:f>IFERROR(INDEX(Sheet1!$J$5:$J$202,MATCH($A50,Sheet1!$A$5:$A$202,0)),"")</x:f>
        <x:v>24982</x:v>
      </x:c>
      <x:c r="G50" s="180" t="n">
        <x:f>IFERROR(INDEX(Sheet1!$J$5:$J$202,MATCH(EDATE($A50,-12),Sheet1!$A$5:$A$202,0)),"")</x:f>
        <x:v>26971</x:v>
      </x:c>
    </x:row>
    <x:row r="51">
      <x:c r="A51" s="107" t="n">
        <x:v>45991</x:v>
      </x:c>
      <x:c r="B51" s="115" t="n">
        <x:f>IF(OR(D51="",E51="",D51=0,E51=0),"",(D51/E51-1)*100)</x:f>
        <x:v>-4.897515821290266</x:v>
      </x:c>
      <x:c r="C51" s="115" t="n">
        <x:f>IF(OR(F51="",G51="",F51=0,G51=0),"",(F51/G51-1)*100)</x:f>
        <x:v>-10.74909581315515</x:v>
      </x:c>
      <x:c r="D51" s="180" t="n">
        <x:f>IFERROR(INDEX(Sheet1!$H$5:$H$202,MATCH($A51,Sheet1!$A$5:$A$202,0)),"")</x:f>
        <x:v>40274</x:v>
      </x:c>
      <x:c r="E51" s="180" t="n">
        <x:f>IFERROR(INDEX(Sheet1!$H$5:$H$202,MATCH(EDATE($A51,-12),Sheet1!$A$5:$A$202,0)),"")</x:f>
        <x:v>42348</x:v>
      </x:c>
      <x:c r="F51" s="180" t="n">
        <x:f>IFERROR(INDEX(Sheet1!$J$5:$J$202,MATCH($A51,Sheet1!$A$5:$A$202,0)),"")</x:f>
        <x:v>29119</x:v>
      </x:c>
      <x:c r="G51" s="180" t="n">
        <x:f>IFERROR(INDEX(Sheet1!$J$5:$J$202,MATCH(EDATE($A51,-12),Sheet1!$A$5:$A$202,0)),"")</x:f>
        <x:v>32626</x:v>
      </x:c>
    </x:row>
    <x:row r="52">
      <x:c r="A52" s="107" t="n">
        <x:v>46022</x:v>
      </x:c>
      <x:c r="B52" s="115" t="n">
        <x:f>IF(OR(D52="",E52="",D52=0,E52=0),"",(D52/E52-1)*100)</x:f>
        <x:v>-7.063939442744404</x:v>
      </x:c>
      <x:c r="C52" s="115" t="n">
        <x:f>IF(OR(F52="",G52="",F52=0,G52=0),"",(F52/G52-1)*100)</x:f>
        <x:v>-14.74568266288836</x:v>
      </x:c>
      <x:c r="D52" s="180" t="n">
        <x:f>IFERROR(INDEX(Sheet1!$H$5:$H$202,MATCH($A52,Sheet1!$A$5:$A$202,0)),"")</x:f>
        <x:v>57704</x:v>
      </x:c>
      <x:c r="E52" s="180" t="n">
        <x:f>IFERROR(INDEX(Sheet1!$H$5:$H$202,MATCH(EDATE($A52,-12),Sheet1!$A$5:$A$202,0)),"")</x:f>
        <x:v>62090</x:v>
      </x:c>
      <x:c r="F52" s="180" t="n">
        <x:f>IFERROR(INDEX(Sheet1!$J$5:$J$202,MATCH($A52,Sheet1!$A$5:$A$202,0)),"")</x:f>
        <x:v>41518</x:v>
      </x:c>
      <x:c r="G52" s="180" t="n">
        <x:f>IFERROR(INDEX(Sheet1!$J$5:$J$202,MATCH(EDATE($A52,-12),Sheet1!$A$5:$A$202,0)),"")</x:f>
        <x:v>48699</x:v>
      </x:c>
    </x:row>
    <x:row r="53">
      <x:c r="A53" s="107" t="n">
        <x:v>46053</x:v>
      </x:c>
      <x:c r="B53" s="115" t="str">
        <x:f>IF(OR(D53="",E53="",D53=0,E53=0),"",(D53/E53-1)*100)</x:f>
      </x:c>
      <x:c r="C53" s="115" t="str">
        <x:f>IF(OR(F53="",G53="",F53=0,G53=0),"",(F53/G53-1)*100)</x:f>
      </x:c>
      <x:c r="D53" s="180" t="n">
        <x:f>IFERROR(INDEX(Sheet1!$H$5:$H$202,MATCH($A53,Sheet1!$A$5:$A$202,0)),"")</x:f>
        <x:v>0</x:v>
      </x:c>
      <x:c r="E53" s="180" t="n">
        <x:f>IFERROR(INDEX(Sheet1!$H$5:$H$202,MATCH(EDATE($A53,-12),Sheet1!$A$5:$A$202,0)),"")</x:f>
        <x:v>0</x:v>
      </x:c>
      <x:c r="F53" s="180" t="n">
        <x:f>IFERROR(INDEX(Sheet1!$J$5:$J$202,MATCH($A53,Sheet1!$A$5:$A$202,0)),"")</x:f>
        <x:v>0</x:v>
      </x:c>
      <x:c r="G53" s="180" t="n">
        <x:f>IFERROR(INDEX(Sheet1!$J$5:$J$202,MATCH(EDATE($A53,-12),Sheet1!$A$5:$A$202,0)),"")</x:f>
        <x:v>0</x:v>
      </x:c>
    </x:row>
    <x:row r="54">
      <x:c r="A54" s="107" t="n">
        <x:v>46081</x:v>
      </x:c>
      <x:c r="B54" s="115" t="n">
        <x:f>IF(OR(D54="",E54="",D54=0,E54=0),"",(D54/E54-1)*100)</x:f>
        <x:v>-15.953612286475472</x:v>
      </x:c>
      <x:c r="C54" s="115" t="n">
        <x:f>IF(OR(F54="",G54="",F54=0,G54=0),"",(F54/G54-1)*100)</x:f>
        <x:v>-25.231871838111296</x:v>
      </x:c>
      <x:c r="D54" s="180" t="n">
        <x:f>IFERROR(INDEX(Sheet1!$H$5:$H$202,MATCH($A54,Sheet1!$A$5:$A$202,0)),"")</x:f>
        <x:v>5363</x:v>
      </x:c>
      <x:c r="E54" s="180" t="n">
        <x:f>IFERROR(INDEX(Sheet1!$H$5:$H$202,MATCH(EDATE($A54,-12),Sheet1!$A$5:$A$202,0)),"")</x:f>
        <x:v>6381</x:v>
      </x:c>
      <x:c r="F54" s="180" t="n">
        <x:f>IFERROR(INDEX(Sheet1!$J$5:$J$202,MATCH($A54,Sheet1!$A$5:$A$202,0)),"")</x:f>
        <x:v>3547</x:v>
      </x:c>
      <x:c r="G54" s="180" t="n">
        <x:f>IFERROR(INDEX(Sheet1!$J$5:$J$202,MATCH(EDATE($A54,-12),Sheet1!$A$5:$A$202,0)),"")</x:f>
        <x:v>4744</x:v>
      </x:c>
    </x:row>
    <x:row r="55">
      <x:c r="A55" s="107" t="n">
        <x:v>46112</x:v>
      </x:c>
      <x:c r="B55" s="115" t="n">
        <x:f>IF(OR(D55="",E55="",D55=0,E55=0),"",(D55/E55-1)*100)</x:f>
        <x:v>-16.17821996323132</x:v>
      </x:c>
      <x:c r="C55" s="115" t="n">
        <x:f>IF(OR(F55="",G55="",F55=0,G55=0),"",(F55/G55-1)*100)</x:f>
        <x:v>-24.426923638487374</x:v>
      </x:c>
      <x:c r="D55" s="180" t="n">
        <x:f>IFERROR(INDEX(Sheet1!$H$5:$H$202,MATCH($A55,Sheet1!$A$5:$A$202,0)),"")</x:f>
        <x:v>7751</x:v>
      </x:c>
      <x:c r="E55" s="180" t="n">
        <x:f>IFERROR(INDEX(Sheet1!$H$5:$H$202,MATCH(EDATE($A55,-12),Sheet1!$A$5:$A$202,0)),"")</x:f>
        <x:v>9247</x:v>
      </x:c>
      <x:c r="F55" s="180" t="n">
        <x:f>IFERROR(INDEX(Sheet1!$J$5:$J$202,MATCH($A55,Sheet1!$A$5:$A$202,0)),"")</x:f>
        <x:v>5176</x:v>
      </x:c>
      <x:c r="G55" s="180" t="n">
        <x:f>IFERROR(INDEX(Sheet1!$J$5:$J$202,MATCH(EDATE($A55,-12),Sheet1!$A$5:$A$202,0)),"")</x:f>
        <x:v>6849</x:v>
      </x:c>
    </x:row>
    <x:row r="56">
      <x:c r="A56" s="107" t="n">
        <x:v>46142</x:v>
      </x:c>
      <x:c r="B56" s="115" t="n">
        <x:f>IF(OR(D56="",E56="",D56=0,E56=0),"",(D56/E56-1)*100)</x:f>
        <x:v>-18.894009216589858</x:v>
      </x:c>
      <x:c r="C56" s="115" t="n">
        <x:f>IF(OR(F56="",G56="",F56=0,G56=0),"",(F56/G56-1)*100)</x:f>
        <x:v>-27.18415417558887</x:v>
      </x:c>
      <x:c r="D56" s="180" t="n">
        <x:f>IFERROR(INDEX(Sheet1!$H$5:$H$202,MATCH($A56,Sheet1!$A$5:$A$202,0)),"")</x:f>
        <x:v>10208</x:v>
      </x:c>
      <x:c r="E56" s="180" t="n">
        <x:f>IFERROR(INDEX(Sheet1!$H$5:$H$202,MATCH(EDATE($A56,-12),Sheet1!$A$5:$A$202,0)),"")</x:f>
        <x:v>12586</x:v>
      </x:c>
      <x:c r="F56" s="180" t="n">
        <x:f>IFERROR(INDEX(Sheet1!$J$5:$J$202,MATCH($A56,Sheet1!$A$5:$A$202,0)),"")</x:f>
        <x:v>6801</x:v>
      </x:c>
      <x:c r="G56" s="180" t="n">
        <x:f>IFERROR(INDEX(Sheet1!$J$5:$J$202,MATCH(EDATE($A56,-12),Sheet1!$A$5:$A$202,0)),"")</x:f>
        <x:v>9340</x:v>
      </x:c>
    </x:row>
    <x:row r="57">
      <x:c r="A57" s="107" t="n">
        <x:v>46173</x:v>
      </x:c>
      <x:c r="B57" s="115" t="n">
        <x:f>IF(OR(D57="",E57="",D57=0,E57=0),"",(D57/E57-1)*100)</x:f>
        <x:v>-19.150035522831487</x:v>
      </x:c>
      <x:c r="C57" s="115" t="n">
        <x:f>IF(OR(F57="",G57="",F57=0,G57=0),"",(F57/G57-1)*100)</x:f>
        <x:v>-28.65880684336495</x:v>
      </x:c>
      <x:c r="D57" s="180" t="n">
        <x:f>IFERROR(INDEX(Sheet1!$H$5:$H$202,MATCH($A57,Sheet1!$A$5:$A$202,0)),"")</x:f>
        <x:v>12518</x:v>
      </x:c>
      <x:c r="E57" s="180" t="n">
        <x:f>IFERROR(INDEX(Sheet1!$H$5:$H$202,MATCH(EDATE($A57,-12),Sheet1!$A$5:$A$202,0)),"")</x:f>
        <x:v>15483</x:v>
      </x:c>
      <x:c r="F57" s="180" t="n">
        <x:f>IFERROR(INDEX(Sheet1!$J$5:$J$202,MATCH($A57,Sheet1!$A$5:$A$202,0)),"")</x:f>
        <x:v>8048</x:v>
      </x:c>
      <x:c r="G57" s="180" t="n">
        <x:f>IFERROR(INDEX(Sheet1!$J$5:$J$202,MATCH(EDATE($A57,-12),Sheet1!$A$5:$A$202,0)),"")</x:f>
        <x:v>11281</x:v>
      </x:c>
    </x:row>
    <x:row r="58">
      <x:c r="A58" s="107" t="n">
        <x:v>46203</x:v>
      </x:c>
      <x:c r="B58" s="115" t="n">
        <x:f>IF(OR(D58="",E58="",D58=0,E58=0),"",(D58/E58-1)*100)</x:f>
        <x:v>-21.59242876247299</x:v>
      </x:c>
      <x:c r="C58" s="115" t="n">
        <x:f>IF(OR(F58="",G58="",F58=0,G58=0),"",(F58/G58-1)*100)</x:f>
        <x:v>-31.48342793076869</x:v>
      </x:c>
      <x:c r="D58" s="180" t="n">
        <x:f>IFERROR(INDEX(Sheet1!$H$5:$H$202,MATCH($A58,Sheet1!$A$5:$A$202,0)),"")</x:f>
        <x:v>15244</x:v>
      </x:c>
      <x:c r="E58" s="180" t="n">
        <x:f>IFERROR(INDEX(Sheet1!$H$5:$H$202,MATCH(EDATE($A58,-12),Sheet1!$A$5:$A$202,0)),"")</x:f>
        <x:v>19442</x:v>
      </x:c>
      <x:c r="F58" s="180" t="n">
        <x:f>IFERROR(INDEX(Sheet1!$J$5:$J$202,MATCH($A58,Sheet1!$A$5:$A$202,0)),"")</x:f>
        <x:v>9778</x:v>
      </x:c>
      <x:c r="G58" s="180" t="n">
        <x:f>IFERROR(INDEX(Sheet1!$J$5:$J$202,MATCH(EDATE($A58,-12),Sheet1!$A$5:$A$202,0)),"")</x:f>
        <x:v>14271</x:v>
      </x:c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3651f07ec9724b61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4" customHeight="1">
      <x:c r="A1" s="166" t="str">
        <x:v>07 财政性存款月度变动</x:v>
      </x:c>
      <x:c r="B1" s="166"/>
      <x:c r="C1" s="166"/>
      <x:c r="D1" s="166"/>
    </x:row>
    <x:row r="2" ht="34" customHeight="1">
      <x:c r="A2" s="168" t="str">
        <x:v>口径：当月变动 = 财政性存款当月余额 − 上月余额。余额上升对应财政资金自银行体系回笼，余额下降对应财政投放；HTML柱形正值为蓝、负值为红。本表展示2022-01至2026-06。</x:v>
      </x:c>
      <x:c r="B2" s="168"/>
      <x:c r="C2" s="168"/>
      <x:c r="D2" s="168"/>
    </x:row>
    <x:row r="4" ht="28" customHeight="1">
      <x:c r="A4" s="173" t="str">
        <x:v>日期</x:v>
      </x:c>
      <x:c r="B4" s="173" t="str">
        <x:v>月度变动 (亿元)</x:v>
      </x:c>
      <x:c r="C4" s="173" t="str">
        <x:v>财政性存款余额 (亿元)</x:v>
      </x:c>
      <x:c r="D4" s="173" t="str">
        <x:v>上月余额 (亿元)</x:v>
      </x:c>
    </x:row>
    <x:row r="5">
      <x:c r="A5" s="107" t="n">
        <x:v>44592</x:v>
      </x:c>
      <x:c r="B5" s="162" t="n">
        <x:f>IF(OR(C5="",D5=""),"",C5-D5)</x:f>
        <x:v>6059.18</x:v>
      </x:c>
      <x:c r="C5" s="181" t="n">
        <x:f>IFERROR(INDEX(Sheet1!$N$5:$N$202,MATCH($A5,Sheet1!$A$5:$A$202,0)),"")</x:f>
        <x:v>56447.88</x:v>
      </x:c>
      <x:c r="D5" s="181" t="n">
        <x:f>IFERROR(INDEX(Sheet1!$N$5:$N$202,MATCH(EOMONTH($A5,-1),Sheet1!$A$5:$A$202,0)),"")</x:f>
        <x:v>50388.7</x:v>
      </x:c>
    </x:row>
    <x:row r="6">
      <x:c r="A6" s="107" t="n">
        <x:v>44620</x:v>
      </x:c>
      <x:c r="B6" s="162" t="n">
        <x:f>IF(OR(C6="",D6=""),"",C6-D6)</x:f>
        <x:v>6001.760000000002</x:v>
      </x:c>
      <x:c r="C6" s="181" t="n">
        <x:f>IFERROR(INDEX(Sheet1!$N$5:$N$202,MATCH($A6,Sheet1!$A$5:$A$202,0)),"")</x:f>
        <x:v>62449.64</x:v>
      </x:c>
      <x:c r="D6" s="181" t="n">
        <x:f>IFERROR(INDEX(Sheet1!$N$5:$N$202,MATCH(EOMONTH($A6,-1),Sheet1!$A$5:$A$202,0)),"")</x:f>
        <x:v>56447.88</x:v>
      </x:c>
    </x:row>
    <x:row r="7">
      <x:c r="A7" s="107" t="n">
        <x:v>44651</x:v>
      </x:c>
      <x:c r="B7" s="162" t="n">
        <x:f>IF(OR(C7="",D7=""),"",C7-D7)</x:f>
        <x:v>-8424.849999999999</x:v>
      </x:c>
      <x:c r="C7" s="181" t="n">
        <x:f>IFERROR(INDEX(Sheet1!$N$5:$N$202,MATCH($A7,Sheet1!$A$5:$A$202,0)),"")</x:f>
        <x:v>54024.79</x:v>
      </x:c>
      <x:c r="D7" s="181" t="n">
        <x:f>IFERROR(INDEX(Sheet1!$N$5:$N$202,MATCH(EOMONTH($A7,-1),Sheet1!$A$5:$A$202,0)),"")</x:f>
        <x:v>62449.64</x:v>
      </x:c>
    </x:row>
    <x:row r="8">
      <x:c r="A8" s="107" t="n">
        <x:v>44681</x:v>
      </x:c>
      <x:c r="B8" s="162" t="n">
        <x:f>IF(OR(C8="",D8=""),"",C8-D8)</x:f>
        <x:v>410.2099999999991</x:v>
      </x:c>
      <x:c r="C8" s="181" t="n">
        <x:f>IFERROR(INDEX(Sheet1!$N$5:$N$202,MATCH($A8,Sheet1!$A$5:$A$202,0)),"")</x:f>
        <x:v>54435</x:v>
      </x:c>
      <x:c r="D8" s="181" t="n">
        <x:f>IFERROR(INDEX(Sheet1!$N$5:$N$202,MATCH(EOMONTH($A8,-1),Sheet1!$A$5:$A$202,0)),"")</x:f>
        <x:v>54024.79</x:v>
      </x:c>
    </x:row>
    <x:row r="9">
      <x:c r="A9" s="107" t="n">
        <x:v>44712</x:v>
      </x:c>
      <x:c r="B9" s="162" t="n">
        <x:f>IF(OR(C9="",D9=""),"",C9-D9)</x:f>
        <x:v>5592.1600000000035</x:v>
      </x:c>
      <x:c r="C9" s="181" t="n">
        <x:f>IFERROR(INDEX(Sheet1!$N$5:$N$202,MATCH($A9,Sheet1!$A$5:$A$202,0)),"")</x:f>
        <x:v>60027.16</x:v>
      </x:c>
      <x:c r="D9" s="181" t="n">
        <x:f>IFERROR(INDEX(Sheet1!$N$5:$N$202,MATCH(EOMONTH($A9,-1),Sheet1!$A$5:$A$202,0)),"")</x:f>
        <x:v>54435</x:v>
      </x:c>
    </x:row>
    <x:row r="10">
      <x:c r="A10" s="107" t="n">
        <x:v>44742</x:v>
      </x:c>
      <x:c r="B10" s="162" t="n">
        <x:f>IF(OR(C10="",D10=""),"",C10-D10)</x:f>
        <x:v>-4367.130000000005</x:v>
      </x:c>
      <x:c r="C10" s="181" t="n">
        <x:f>IFERROR(INDEX(Sheet1!$N$5:$N$202,MATCH($A10,Sheet1!$A$5:$A$202,0)),"")</x:f>
        <x:v>55660.03</x:v>
      </x:c>
      <x:c r="D10" s="181" t="n">
        <x:f>IFERROR(INDEX(Sheet1!$N$5:$N$202,MATCH(EOMONTH($A10,-1),Sheet1!$A$5:$A$202,0)),"")</x:f>
        <x:v>60027.16</x:v>
      </x:c>
    </x:row>
    <x:row r="11">
      <x:c r="A11" s="107" t="n">
        <x:v>44773</x:v>
      </x:c>
      <x:c r="B11" s="162" t="n">
        <x:f>IF(OR(C11="",D11=""),"",C11-D11)</x:f>
        <x:v>4863.489999999998</x:v>
      </x:c>
      <x:c r="C11" s="181" t="n">
        <x:f>IFERROR(INDEX(Sheet1!$N$5:$N$202,MATCH($A11,Sheet1!$A$5:$A$202,0)),"")</x:f>
        <x:v>60523.52</x:v>
      </x:c>
      <x:c r="D11" s="181" t="n">
        <x:f>IFERROR(INDEX(Sheet1!$N$5:$N$202,MATCH(EOMONTH($A11,-1),Sheet1!$A$5:$A$202,0)),"")</x:f>
        <x:v>55660.03</x:v>
      </x:c>
    </x:row>
    <x:row r="12">
      <x:c r="A12" s="107" t="n">
        <x:v>44804</x:v>
      </x:c>
      <x:c r="B12" s="162" t="n">
        <x:f>IF(OR(C12="",D12=""),"",C12-D12)</x:f>
        <x:v>-2571.519999999997</x:v>
      </x:c>
      <x:c r="C12" s="181" t="n">
        <x:f>IFERROR(INDEX(Sheet1!$N$5:$N$202,MATCH($A12,Sheet1!$A$5:$A$202,0)),"")</x:f>
        <x:v>57952</x:v>
      </x:c>
      <x:c r="D12" s="181" t="n">
        <x:f>IFERROR(INDEX(Sheet1!$N$5:$N$202,MATCH(EOMONTH($A12,-1),Sheet1!$A$5:$A$202,0)),"")</x:f>
        <x:v>60523.52</x:v>
      </x:c>
    </x:row>
    <x:row r="13">
      <x:c r="A13" s="107" t="n">
        <x:v>44834</x:v>
      </x:c>
      <x:c r="B13" s="162" t="n">
        <x:f>IF(OR(C13="",D13=""),"",C13-D13)</x:f>
        <x:v>-4800.5</x:v>
      </x:c>
      <x:c r="C13" s="181" t="n">
        <x:f>IFERROR(INDEX(Sheet1!$N$5:$N$202,MATCH($A13,Sheet1!$A$5:$A$202,0)),"")</x:f>
        <x:v>53151.5</x:v>
      </x:c>
      <x:c r="D13" s="181" t="n">
        <x:f>IFERROR(INDEX(Sheet1!$N$5:$N$202,MATCH(EOMONTH($A13,-1),Sheet1!$A$5:$A$202,0)),"")</x:f>
        <x:v>57952</x:v>
      </x:c>
    </x:row>
    <x:row r="14">
      <x:c r="A14" s="107" t="n">
        <x:v>44865</x:v>
      </x:c>
      <x:c r="B14" s="162" t="n">
        <x:f>IF(OR(C14="",D14=""),"",C14-D14)</x:f>
        <x:v>11432.029999999999</x:v>
      </x:c>
      <x:c r="C14" s="181" t="n">
        <x:f>IFERROR(INDEX(Sheet1!$N$5:$N$202,MATCH($A14,Sheet1!$A$5:$A$202,0)),"")</x:f>
        <x:v>64583.53</x:v>
      </x:c>
      <x:c r="D14" s="181" t="n">
        <x:f>IFERROR(INDEX(Sheet1!$N$5:$N$202,MATCH(EOMONTH($A14,-1),Sheet1!$A$5:$A$202,0)),"")</x:f>
        <x:v>53151.5</x:v>
      </x:c>
    </x:row>
    <x:row r="15">
      <x:c r="A15" s="107" t="n">
        <x:v>44895</x:v>
      </x:c>
      <x:c r="B15" s="162" t="n">
        <x:f>IF(OR(C15="",D15=""),"",C15-D15)</x:f>
        <x:v>-3680.6900000000023</x:v>
      </x:c>
      <x:c r="C15" s="181" t="n">
        <x:f>IFERROR(INDEX(Sheet1!$N$5:$N$202,MATCH($A15,Sheet1!$A$5:$A$202,0)),"")</x:f>
        <x:v>60902.84</x:v>
      </x:c>
      <x:c r="D15" s="181" t="n">
        <x:f>IFERROR(INDEX(Sheet1!$N$5:$N$202,MATCH(EOMONTH($A15,-1),Sheet1!$A$5:$A$202,0)),"")</x:f>
        <x:v>64583.53</x:v>
      </x:c>
    </x:row>
    <x:row r="16">
      <x:c r="A16" s="107" t="n">
        <x:v>44926</x:v>
      </x:c>
      <x:c r="B16" s="162" t="n">
        <x:f>IF(OR(C16="",D16=""),"",C16-D16)</x:f>
        <x:v>-10889.919999999998</x:v>
      </x:c>
      <x:c r="C16" s="181" t="n">
        <x:f>IFERROR(INDEX(Sheet1!$N$5:$N$202,MATCH($A16,Sheet1!$A$5:$A$202,0)),"")</x:f>
        <x:v>50012.92</x:v>
      </x:c>
      <x:c r="D16" s="181" t="n">
        <x:f>IFERROR(INDEX(Sheet1!$N$5:$N$202,MATCH(EOMONTH($A16,-1),Sheet1!$A$5:$A$202,0)),"")</x:f>
        <x:v>60902.84</x:v>
      </x:c>
    </x:row>
    <x:row r="17">
      <x:c r="A17" s="107" t="n">
        <x:v>44957</x:v>
      </x:c>
      <x:c r="B17" s="162" t="n">
        <x:f>IF(OR(C17="",D17=""),"",C17-D17)</x:f>
        <x:v>6827.880000000005</x:v>
      </x:c>
      <x:c r="C17" s="181" t="n">
        <x:f>IFERROR(INDEX(Sheet1!$N$5:$N$202,MATCH($A17,Sheet1!$A$5:$A$202,0)),"")</x:f>
        <x:v>56840.8</x:v>
      </x:c>
      <x:c r="D17" s="181" t="n">
        <x:f>IFERROR(INDEX(Sheet1!$N$5:$N$202,MATCH(EOMONTH($A17,-1),Sheet1!$A$5:$A$202,0)),"")</x:f>
        <x:v>50012.92</x:v>
      </x:c>
    </x:row>
    <x:row r="18">
      <x:c r="A18" s="107" t="n">
        <x:v>44985</x:v>
      </x:c>
      <x:c r="B18" s="162" t="n">
        <x:f>IF(OR(C18="",D18=""),"",C18-D18)</x:f>
        <x:v>4557.5</x:v>
      </x:c>
      <x:c r="C18" s="181" t="n">
        <x:f>IFERROR(INDEX(Sheet1!$N$5:$N$202,MATCH($A18,Sheet1!$A$5:$A$202,0)),"")</x:f>
        <x:v>61398.3</x:v>
      </x:c>
      <x:c r="D18" s="181" t="n">
        <x:f>IFERROR(INDEX(Sheet1!$N$5:$N$202,MATCH(EOMONTH($A18,-1),Sheet1!$A$5:$A$202,0)),"")</x:f>
        <x:v>56840.8</x:v>
      </x:c>
    </x:row>
    <x:row r="19">
      <x:c r="A19" s="107" t="n">
        <x:v>45016</x:v>
      </x:c>
      <x:c r="B19" s="162" t="n">
        <x:f>IF(OR(C19="",D19=""),"",C19-D19)</x:f>
        <x:v>-8411.660000000003</x:v>
      </x:c>
      <x:c r="C19" s="181" t="n">
        <x:f>IFERROR(INDEX(Sheet1!$N$5:$N$202,MATCH($A19,Sheet1!$A$5:$A$202,0)),"")</x:f>
        <x:v>52986.64</x:v>
      </x:c>
      <x:c r="D19" s="181" t="n">
        <x:f>IFERROR(INDEX(Sheet1!$N$5:$N$202,MATCH(EOMONTH($A19,-1),Sheet1!$A$5:$A$202,0)),"")</x:f>
        <x:v>61398.3</x:v>
      </x:c>
    </x:row>
    <x:row r="20">
      <x:c r="A20" s="107" t="n">
        <x:v>45046</x:v>
      </x:c>
      <x:c r="B20" s="162" t="n">
        <x:f>IF(OR(C20="",D20=""),"",C20-D20)</x:f>
        <x:v>5028.080000000002</x:v>
      </x:c>
      <x:c r="C20" s="181" t="n">
        <x:f>IFERROR(INDEX(Sheet1!$N$5:$N$202,MATCH($A20,Sheet1!$A$5:$A$202,0)),"")</x:f>
        <x:v>58014.72</x:v>
      </x:c>
      <x:c r="D20" s="181" t="n">
        <x:f>IFERROR(INDEX(Sheet1!$N$5:$N$202,MATCH(EOMONTH($A20,-1),Sheet1!$A$5:$A$202,0)),"")</x:f>
        <x:v>52986.64</x:v>
      </x:c>
    </x:row>
    <x:row r="21">
      <x:c r="A21" s="107" t="n">
        <x:v>45077</x:v>
      </x:c>
      <x:c r="B21" s="162" t="n">
        <x:f>IF(OR(C21="",D21=""),"",C21-D21)</x:f>
        <x:v>2369.3499999999985</x:v>
      </x:c>
      <x:c r="C21" s="181" t="n">
        <x:f>IFERROR(INDEX(Sheet1!$N$5:$N$202,MATCH($A21,Sheet1!$A$5:$A$202,0)),"")</x:f>
        <x:v>60384.07</x:v>
      </x:c>
      <x:c r="D21" s="181" t="n">
        <x:f>IFERROR(INDEX(Sheet1!$N$5:$N$202,MATCH(EOMONTH($A21,-1),Sheet1!$A$5:$A$202,0)),"")</x:f>
        <x:v>58014.72</x:v>
      </x:c>
    </x:row>
    <x:row r="22">
      <x:c r="A22" s="107" t="n">
        <x:v>45107</x:v>
      </x:c>
      <x:c r="B22" s="162" t="n">
        <x:f>IF(OR(C22="",D22=""),"",C22-D22)</x:f>
        <x:v>-10495.82</x:v>
      </x:c>
      <x:c r="C22" s="181" t="n">
        <x:f>IFERROR(INDEX(Sheet1!$N$5:$N$202,MATCH($A22,Sheet1!$A$5:$A$202,0)),"")</x:f>
        <x:v>49888.25</x:v>
      </x:c>
      <x:c r="D22" s="181" t="n">
        <x:f>IFERROR(INDEX(Sheet1!$N$5:$N$202,MATCH(EOMONTH($A22,-1),Sheet1!$A$5:$A$202,0)),"")</x:f>
        <x:v>60384.07</x:v>
      </x:c>
    </x:row>
    <x:row r="23">
      <x:c r="A23" s="107" t="n">
        <x:v>45138</x:v>
      </x:c>
      <x:c r="B23" s="162" t="n">
        <x:f>IF(OR(C23="",D23=""),"",C23-D23)</x:f>
        <x:v>9077.61</x:v>
      </x:c>
      <x:c r="C23" s="181" t="n">
        <x:f>IFERROR(INDEX(Sheet1!$N$5:$N$202,MATCH($A23,Sheet1!$A$5:$A$202,0)),"")</x:f>
        <x:v>58965.86</x:v>
      </x:c>
      <x:c r="D23" s="181" t="n">
        <x:f>IFERROR(INDEX(Sheet1!$N$5:$N$202,MATCH(EOMONTH($A23,-1),Sheet1!$A$5:$A$202,0)),"")</x:f>
        <x:v>49888.25</x:v>
      </x:c>
    </x:row>
    <x:row r="24">
      <x:c r="A24" s="107" t="n">
        <x:v>45169</x:v>
      </x:c>
      <x:c r="B24" s="162" t="n">
        <x:f>IF(OR(C24="",D24=""),"",C24-D24)</x:f>
        <x:v>-87.54000000000087</x:v>
      </x:c>
      <x:c r="C24" s="181" t="n">
        <x:f>IFERROR(INDEX(Sheet1!$N$5:$N$202,MATCH($A24,Sheet1!$A$5:$A$202,0)),"")</x:f>
        <x:v>58878.32</x:v>
      </x:c>
      <x:c r="D24" s="181" t="n">
        <x:f>IFERROR(INDEX(Sheet1!$N$5:$N$202,MATCH(EOMONTH($A24,-1),Sheet1!$A$5:$A$202,0)),"")</x:f>
        <x:v>58965.86</x:v>
      </x:c>
    </x:row>
    <x:row r="25">
      <x:c r="A25" s="107" t="n">
        <x:v>45199</x:v>
      </x:c>
      <x:c r="B25" s="162" t="n">
        <x:f>IF(OR(C25="",D25=""),"",C25-D25)</x:f>
        <x:v>-2127.730000000003</x:v>
      </x:c>
      <x:c r="C25" s="181" t="n">
        <x:f>IFERROR(INDEX(Sheet1!$N$5:$N$202,MATCH($A25,Sheet1!$A$5:$A$202,0)),"")</x:f>
        <x:v>56750.59</x:v>
      </x:c>
      <x:c r="D25" s="181" t="n">
        <x:f>IFERROR(INDEX(Sheet1!$N$5:$N$202,MATCH(EOMONTH($A25,-1),Sheet1!$A$5:$A$202,0)),"")</x:f>
        <x:v>58878.32</x:v>
      </x:c>
    </x:row>
    <x:row r="26">
      <x:c r="A26" s="107" t="n">
        <x:v>45230</x:v>
      </x:c>
      <x:c r="B26" s="162" t="n">
        <x:f>IF(OR(C26="",D26=""),"",C26-D26)</x:f>
        <x:v>13660.529999999999</x:v>
      </x:c>
      <x:c r="C26" s="181" t="n">
        <x:f>IFERROR(INDEX(Sheet1!$N$5:$N$202,MATCH($A26,Sheet1!$A$5:$A$202,0)),"")</x:f>
        <x:v>70411.12</x:v>
      </x:c>
      <x:c r="D26" s="181" t="n">
        <x:f>IFERROR(INDEX(Sheet1!$N$5:$N$202,MATCH(EOMONTH($A26,-1),Sheet1!$A$5:$A$202,0)),"")</x:f>
        <x:v>56750.59</x:v>
      </x:c>
    </x:row>
    <x:row r="27">
      <x:c r="A27" s="107" t="n">
        <x:v>45260</x:v>
      </x:c>
      <x:c r="B27" s="162" t="n">
        <x:f>IF(OR(C27="",D27=""),"",C27-D27)</x:f>
        <x:v>-3292.7699999999895</x:v>
      </x:c>
      <x:c r="C27" s="181" t="n">
        <x:f>IFERROR(INDEX(Sheet1!$N$5:$N$202,MATCH($A27,Sheet1!$A$5:$A$202,0)),"")</x:f>
        <x:v>67118.35</x:v>
      </x:c>
      <x:c r="D27" s="181" t="n">
        <x:f>IFERROR(INDEX(Sheet1!$N$5:$N$202,MATCH(EOMONTH($A27,-1),Sheet1!$A$5:$A$202,0)),"")</x:f>
        <x:v>70411.12</x:v>
      </x:c>
    </x:row>
    <x:row r="28">
      <x:c r="A28" s="107" t="n">
        <x:v>45291</x:v>
      </x:c>
      <x:c r="B28" s="162" t="n">
        <x:f>IF(OR(C28="",D28=""),"",C28-D28)</x:f>
        <x:v>-9181.220000000008</x:v>
      </x:c>
      <x:c r="C28" s="181" t="n">
        <x:f>IFERROR(INDEX(Sheet1!$N$5:$N$202,MATCH($A28,Sheet1!$A$5:$A$202,0)),"")</x:f>
        <x:v>57937.13</x:v>
      </x:c>
      <x:c r="D28" s="181" t="n">
        <x:f>IFERROR(INDEX(Sheet1!$N$5:$N$202,MATCH(EOMONTH($A28,-1),Sheet1!$A$5:$A$202,0)),"")</x:f>
        <x:v>67118.35</x:v>
      </x:c>
    </x:row>
    <x:row r="29">
      <x:c r="A29" s="107" t="n">
        <x:v>45322</x:v>
      </x:c>
      <x:c r="B29" s="162" t="n">
        <x:f>IF(OR(C29="",D29=""),"",C29-D29)</x:f>
        <x:v>8603.68</x:v>
      </x:c>
      <x:c r="C29" s="181" t="n">
        <x:f>IFERROR(INDEX(Sheet1!$N$5:$N$202,MATCH($A29,Sheet1!$A$5:$A$202,0)),"")</x:f>
        <x:v>66540.81</x:v>
      </x:c>
      <x:c r="D29" s="181" t="n">
        <x:f>IFERROR(INDEX(Sheet1!$N$5:$N$202,MATCH(EOMONTH($A29,-1),Sheet1!$A$5:$A$202,0)),"")</x:f>
        <x:v>57937.13</x:v>
      </x:c>
    </x:row>
    <x:row r="30">
      <x:c r="A30" s="107" t="n">
        <x:v>45351</x:v>
      </x:c>
      <x:c r="B30" s="162" t="n">
        <x:f>IF(OR(C30="",D30=""),"",C30-D30)</x:f>
        <x:v>-3797.2599999999948</x:v>
      </x:c>
      <x:c r="C30" s="181" t="n">
        <x:f>IFERROR(INDEX(Sheet1!$N$5:$N$202,MATCH($A30,Sheet1!$A$5:$A$202,0)),"")</x:f>
        <x:v>62743.55</x:v>
      </x:c>
      <x:c r="D30" s="181" t="n">
        <x:f>IFERROR(INDEX(Sheet1!$N$5:$N$202,MATCH(EOMONTH($A30,-1),Sheet1!$A$5:$A$202,0)),"")</x:f>
        <x:v>66540.81</x:v>
      </x:c>
    </x:row>
    <x:row r="31">
      <x:c r="A31" s="107" t="n">
        <x:v>45382</x:v>
      </x:c>
      <x:c r="B31" s="162" t="n">
        <x:f>IF(OR(C31="",D31=""),"",C31-D31)</x:f>
        <x:v>-7661.360000000001</x:v>
      </x:c>
      <x:c r="C31" s="181" t="n">
        <x:f>IFERROR(INDEX(Sheet1!$N$5:$N$202,MATCH($A31,Sheet1!$A$5:$A$202,0)),"")</x:f>
        <x:v>55082.19</x:v>
      </x:c>
      <x:c r="D31" s="181" t="n">
        <x:f>IFERROR(INDEX(Sheet1!$N$5:$N$202,MATCH(EOMONTH($A31,-1),Sheet1!$A$5:$A$202,0)),"")</x:f>
        <x:v>62743.55</x:v>
      </x:c>
    </x:row>
    <x:row r="32">
      <x:c r="A32" s="107" t="n">
        <x:v>45412</x:v>
      </x:c>
      <x:c r="B32" s="162" t="n">
        <x:f>IF(OR(C32="",D32=""),"",C32-D32)</x:f>
        <x:v>980.6100000000006</x:v>
      </x:c>
      <x:c r="C32" s="181" t="n">
        <x:f>IFERROR(INDEX(Sheet1!$N$5:$N$202,MATCH($A32,Sheet1!$A$5:$A$202,0)),"")</x:f>
        <x:v>56062.8</x:v>
      </x:c>
      <x:c r="D32" s="181" t="n">
        <x:f>IFERROR(INDEX(Sheet1!$N$5:$N$202,MATCH(EOMONTH($A32,-1),Sheet1!$A$5:$A$202,0)),"")</x:f>
        <x:v>55082.19</x:v>
      </x:c>
    </x:row>
    <x:row r="33">
      <x:c r="A33" s="107" t="n">
        <x:v>45443</x:v>
      </x:c>
      <x:c r="B33" s="162" t="n">
        <x:f>IF(OR(C33="",D33=""),"",C33-D33)</x:f>
        <x:v>7633.199999999997</x:v>
      </x:c>
      <x:c r="C33" s="181" t="n">
        <x:f>IFERROR(INDEX(Sheet1!$N$5:$N$202,MATCH($A33,Sheet1!$A$5:$A$202,0)),"")</x:f>
        <x:v>63696</x:v>
      </x:c>
      <x:c r="D33" s="181" t="n">
        <x:f>IFERROR(INDEX(Sheet1!$N$5:$N$202,MATCH(EOMONTH($A33,-1),Sheet1!$A$5:$A$202,0)),"")</x:f>
        <x:v>56062.8</x:v>
      </x:c>
    </x:row>
    <x:row r="34">
      <x:c r="A34" s="107" t="n">
        <x:v>45473</x:v>
      </x:c>
      <x:c r="B34" s="162" t="n">
        <x:f>IF(OR(C34="",D34=""),"",C34-D34)</x:f>
        <x:v>-8193.089999999997</x:v>
      </x:c>
      <x:c r="C34" s="181" t="n">
        <x:f>IFERROR(INDEX(Sheet1!$N$5:$N$202,MATCH($A34,Sheet1!$A$5:$A$202,0)),"")</x:f>
        <x:v>55502.91</x:v>
      </x:c>
      <x:c r="D34" s="181" t="n">
        <x:f>IFERROR(INDEX(Sheet1!$N$5:$N$202,MATCH(EOMONTH($A34,-1),Sheet1!$A$5:$A$202,0)),"")</x:f>
        <x:v>63696</x:v>
      </x:c>
    </x:row>
    <x:row r="35">
      <x:c r="A35" s="107" t="n">
        <x:v>45504</x:v>
      </x:c>
      <x:c r="B35" s="162" t="n">
        <x:f>IF(OR(C35="",D35=""),"",C35-D35)</x:f>
        <x:v>6453.429999999993</x:v>
      </x:c>
      <x:c r="C35" s="181" t="n">
        <x:f>IFERROR(INDEX(Sheet1!$N$5:$N$202,MATCH($A35,Sheet1!$A$5:$A$202,0)),"")</x:f>
        <x:v>61956.34</x:v>
      </x:c>
      <x:c r="D35" s="181" t="n">
        <x:f>IFERROR(INDEX(Sheet1!$N$5:$N$202,MATCH(EOMONTH($A35,-1),Sheet1!$A$5:$A$202,0)),"")</x:f>
        <x:v>55502.91</x:v>
      </x:c>
    </x:row>
    <x:row r="36">
      <x:c r="A36" s="107" t="n">
        <x:v>45535</x:v>
      </x:c>
      <x:c r="B36" s="162" t="n">
        <x:f>IF(OR(C36="",D36=""),"",C36-D36)</x:f>
        <x:v>5586.87000000001</x:v>
      </x:c>
      <x:c r="C36" s="181" t="n">
        <x:f>IFERROR(INDEX(Sheet1!$N$5:$N$202,MATCH($A36,Sheet1!$A$5:$A$202,0)),"")</x:f>
        <x:v>67543.21</x:v>
      </x:c>
      <x:c r="D36" s="181" t="n">
        <x:f>IFERROR(INDEX(Sheet1!$N$5:$N$202,MATCH(EOMONTH($A36,-1),Sheet1!$A$5:$A$202,0)),"")</x:f>
        <x:v>61956.34</x:v>
      </x:c>
    </x:row>
    <x:row r="37">
      <x:c r="A37" s="107" t="n">
        <x:v>45565</x:v>
      </x:c>
      <x:c r="B37" s="162" t="n">
        <x:f>IF(OR(C37="",D37=""),"",C37-D37)</x:f>
        <x:v>-2358.060000000005</x:v>
      </x:c>
      <x:c r="C37" s="181" t="n">
        <x:f>IFERROR(INDEX(Sheet1!$N$5:$N$202,MATCH($A37,Sheet1!$A$5:$A$202,0)),"")</x:f>
        <x:v>65185.15</x:v>
      </x:c>
      <x:c r="D37" s="181" t="n">
        <x:f>IFERROR(INDEX(Sheet1!$N$5:$N$202,MATCH(EOMONTH($A37,-1),Sheet1!$A$5:$A$202,0)),"")</x:f>
        <x:v>67543.21</x:v>
      </x:c>
    </x:row>
    <x:row r="38">
      <x:c r="A38" s="107" t="n">
        <x:v>45596</x:v>
      </x:c>
      <x:c r="B38" s="162" t="n">
        <x:f>IF(OR(C38="",D38=""),"",C38-D38)</x:f>
        <x:v>5964.040000000001</x:v>
      </x:c>
      <x:c r="C38" s="181" t="n">
        <x:f>IFERROR(INDEX(Sheet1!$N$5:$N$202,MATCH($A38,Sheet1!$A$5:$A$202,0)),"")</x:f>
        <x:v>71149.19</x:v>
      </x:c>
      <x:c r="D38" s="181" t="n">
        <x:f>IFERROR(INDEX(Sheet1!$N$5:$N$202,MATCH(EOMONTH($A38,-1),Sheet1!$A$5:$A$202,0)),"")</x:f>
        <x:v>65185.15</x:v>
      </x:c>
    </x:row>
    <x:row r="39">
      <x:c r="A39" s="107" t="n">
        <x:v>45626</x:v>
      </x:c>
      <x:c r="B39" s="162" t="n">
        <x:f>IF(OR(C39="",D39=""),"",C39-D39)</x:f>
        <x:v>1407.949999999997</x:v>
      </x:c>
      <x:c r="C39" s="181" t="n">
        <x:f>IFERROR(INDEX(Sheet1!$N$5:$N$202,MATCH($A39,Sheet1!$A$5:$A$202,0)),"")</x:f>
        <x:v>72557.14</x:v>
      </x:c>
      <x:c r="D39" s="181" t="n">
        <x:f>IFERROR(INDEX(Sheet1!$N$5:$N$202,MATCH(EOMONTH($A39,-1),Sheet1!$A$5:$A$202,0)),"")</x:f>
        <x:v>71149.19</x:v>
      </x:c>
    </x:row>
    <x:row r="40">
      <x:c r="A40" s="107" t="n">
        <x:v>45657</x:v>
      </x:c>
      <x:c r="B40" s="162" t="n">
        <x:f>IF(OR(C40="",D40=""),"",C40-D40)</x:f>
        <x:v>-16744.979999999996</x:v>
      </x:c>
      <x:c r="C40" s="181" t="n">
        <x:f>IFERROR(INDEX(Sheet1!$N$5:$N$202,MATCH($A40,Sheet1!$A$5:$A$202,0)),"")</x:f>
        <x:v>55812.16</x:v>
      </x:c>
      <x:c r="D40" s="181" t="n">
        <x:f>IFERROR(INDEX(Sheet1!$N$5:$N$202,MATCH(EOMONTH($A40,-1),Sheet1!$A$5:$A$202,0)),"")</x:f>
        <x:v>72557.14</x:v>
      </x:c>
    </x:row>
    <x:row r="41">
      <x:c r="A41" s="107" t="n">
        <x:v>45688</x:v>
      </x:c>
      <x:c r="B41" s="162" t="n">
        <x:f>IF(OR(C41="",D41=""),"",C41-D41)</x:f>
        <x:v>3750.779999999999</x:v>
      </x:c>
      <x:c r="C41" s="181" t="n">
        <x:f>IFERROR(INDEX(Sheet1!$N$5:$N$202,MATCH($A41,Sheet1!$A$5:$A$202,0)),"")</x:f>
        <x:v>59562.94</x:v>
      </x:c>
      <x:c r="D41" s="181" t="n">
        <x:f>IFERROR(INDEX(Sheet1!$N$5:$N$202,MATCH(EOMONTH($A41,-1),Sheet1!$A$5:$A$202,0)),"")</x:f>
        <x:v>55812.16</x:v>
      </x:c>
    </x:row>
    <x:row r="42">
      <x:c r="A42" s="107" t="n">
        <x:v>45716</x:v>
      </x:c>
      <x:c r="B42" s="162" t="n">
        <x:f>IF(OR(C42="",D42=""),"",C42-D42)</x:f>
        <x:v>12553.209999999992</x:v>
      </x:c>
      <x:c r="C42" s="181" t="n">
        <x:f>IFERROR(INDEX(Sheet1!$N$5:$N$202,MATCH($A42,Sheet1!$A$5:$A$202,0)),"")</x:f>
        <x:v>72116.15</x:v>
      </x:c>
      <x:c r="D42" s="181" t="n">
        <x:f>IFERROR(INDEX(Sheet1!$N$5:$N$202,MATCH(EOMONTH($A42,-1),Sheet1!$A$5:$A$202,0)),"")</x:f>
        <x:v>59562.94</x:v>
      </x:c>
    </x:row>
    <x:row r="43">
      <x:c r="A43" s="107" t="n">
        <x:v>45747</x:v>
      </x:c>
      <x:c r="B43" s="162" t="n">
        <x:f>IF(OR(C43="",D43=""),"",C43-D43)</x:f>
        <x:v>-7687.659999999996</x:v>
      </x:c>
      <x:c r="C43" s="181" t="n">
        <x:f>IFERROR(INDEX(Sheet1!$N$5:$N$202,MATCH($A43,Sheet1!$A$5:$A$202,0)),"")</x:f>
        <x:v>64428.49</x:v>
      </x:c>
      <x:c r="D43" s="181" t="n">
        <x:f>IFERROR(INDEX(Sheet1!$N$5:$N$202,MATCH(EOMONTH($A43,-1),Sheet1!$A$5:$A$202,0)),"")</x:f>
        <x:v>72116.15</x:v>
      </x:c>
    </x:row>
    <x:row r="44">
      <x:c r="A44" s="107" t="n">
        <x:v>45777</x:v>
      </x:c>
      <x:c r="B44" s="162" t="n">
        <x:f>IF(OR(C44="",D44=""),"",C44-D44)</x:f>
        <x:v>3672.4700000000084</x:v>
      </x:c>
      <x:c r="C44" s="181" t="n">
        <x:f>IFERROR(INDEX(Sheet1!$N$5:$N$202,MATCH($A44,Sheet1!$A$5:$A$202,0)),"")</x:f>
        <x:v>68100.96</x:v>
      </x:c>
      <x:c r="D44" s="181" t="n">
        <x:f>IFERROR(INDEX(Sheet1!$N$5:$N$202,MATCH(EOMONTH($A44,-1),Sheet1!$A$5:$A$202,0)),"")</x:f>
        <x:v>64428.49</x:v>
      </x:c>
    </x:row>
    <x:row r="45">
      <x:c r="A45" s="107" t="n">
        <x:v>45808</x:v>
      </x:c>
      <x:c r="B45" s="162" t="n">
        <x:f>IF(OR(C45="",D45=""),"",C45-D45)</x:f>
        <x:v>8841.899999999994</x:v>
      </x:c>
      <x:c r="C45" s="181" t="n">
        <x:f>IFERROR(INDEX(Sheet1!$N$5:$N$202,MATCH($A45,Sheet1!$A$5:$A$202,0)),"")</x:f>
        <x:v>76942.86</x:v>
      </x:c>
      <x:c r="D45" s="181" t="n">
        <x:f>IFERROR(INDEX(Sheet1!$N$5:$N$202,MATCH(EOMONTH($A45,-1),Sheet1!$A$5:$A$202,0)),"")</x:f>
        <x:v>68100.96</x:v>
      </x:c>
    </x:row>
    <x:row r="46">
      <x:c r="A46" s="107" t="n">
        <x:v>45838</x:v>
      </x:c>
      <x:c r="B46" s="162" t="n">
        <x:f>IF(OR(C46="",D46=""),"",C46-D46)</x:f>
        <x:v>-8166.259999999995</x:v>
      </x:c>
      <x:c r="C46" s="181" t="n">
        <x:f>IFERROR(INDEX(Sheet1!$N$5:$N$202,MATCH($A46,Sheet1!$A$5:$A$202,0)),"")</x:f>
        <x:v>68776.6</x:v>
      </x:c>
      <x:c r="D46" s="181" t="n">
        <x:f>IFERROR(INDEX(Sheet1!$N$5:$N$202,MATCH(EOMONTH($A46,-1),Sheet1!$A$5:$A$202,0)),"")</x:f>
        <x:v>76942.86</x:v>
      </x:c>
    </x:row>
    <x:row r="47">
      <x:c r="A47" s="107" t="n">
        <x:v>45869</x:v>
      </x:c>
      <x:c r="B47" s="162" t="n">
        <x:f>IF(OR(C47="",D47=""),"",C47-D47)</x:f>
        <x:v>7676.259999999995</x:v>
      </x:c>
      <x:c r="C47" s="181" t="n">
        <x:f>IFERROR(INDEX(Sheet1!$N$5:$N$202,MATCH($A47,Sheet1!$A$5:$A$202,0)),"")</x:f>
        <x:v>76452.86</x:v>
      </x:c>
      <x:c r="D47" s="181" t="n">
        <x:f>IFERROR(INDEX(Sheet1!$N$5:$N$202,MATCH(EOMONTH($A47,-1),Sheet1!$A$5:$A$202,0)),"")</x:f>
        <x:v>68776.6</x:v>
      </x:c>
    </x:row>
    <x:row r="48">
      <x:c r="A48" s="107" t="n">
        <x:v>45900</x:v>
      </x:c>
      <x:c r="B48" s="162" t="n">
        <x:f>IF(OR(C48="",D48=""),"",C48-D48)</x:f>
        <x:v>1895.5299999999988</x:v>
      </x:c>
      <x:c r="C48" s="181" t="n">
        <x:f>IFERROR(INDEX(Sheet1!$N$5:$N$202,MATCH($A48,Sheet1!$A$5:$A$202,0)),"")</x:f>
        <x:v>78348.39</x:v>
      </x:c>
      <x:c r="D48" s="181" t="n">
        <x:f>IFERROR(INDEX(Sheet1!$N$5:$N$202,MATCH(EOMONTH($A48,-1),Sheet1!$A$5:$A$202,0)),"")</x:f>
        <x:v>76452.86</x:v>
      </x:c>
    </x:row>
    <x:row r="49">
      <x:c r="A49" s="107" t="n">
        <x:v>45930</x:v>
      </x:c>
      <x:c r="B49" s="162" t="n">
        <x:f>IF(OR(C49="",D49=""),"",C49-D49)</x:f>
        <x:v>-8441.880000000005</x:v>
      </x:c>
      <x:c r="C49" s="181" t="n">
        <x:f>IFERROR(INDEX(Sheet1!$N$5:$N$202,MATCH($A49,Sheet1!$A$5:$A$202,0)),"")</x:f>
        <x:v>69906.51</x:v>
      </x:c>
      <x:c r="D49" s="181" t="n">
        <x:f>IFERROR(INDEX(Sheet1!$N$5:$N$202,MATCH(EOMONTH($A49,-1),Sheet1!$A$5:$A$202,0)),"")</x:f>
        <x:v>78348.39</x:v>
      </x:c>
    </x:row>
    <x:row r="50">
      <x:c r="A50" s="107" t="n">
        <x:v>45961</x:v>
      </x:c>
      <x:c r="B50" s="162" t="n">
        <x:f>IF(OR(C50="",D50=""),"",C50-D50)</x:f>
        <x:v>7222.010000000009</x:v>
      </x:c>
      <x:c r="C50" s="181" t="n">
        <x:f>IFERROR(INDEX(Sheet1!$N$5:$N$202,MATCH($A50,Sheet1!$A$5:$A$202,0)),"")</x:f>
        <x:v>77128.52</x:v>
      </x:c>
      <x:c r="D50" s="181" t="n">
        <x:f>IFERROR(INDEX(Sheet1!$N$5:$N$202,MATCH(EOMONTH($A50,-1),Sheet1!$A$5:$A$202,0)),"")</x:f>
        <x:v>69906.51</x:v>
      </x:c>
    </x:row>
    <x:row r="51">
      <x:c r="A51" s="107" t="n">
        <x:v>45991</x:v>
      </x:c>
      <x:c r="B51" s="162" t="n">
        <x:f>IF(OR(C51="",D51=""),"",C51-D51)</x:f>
        <x:v>-466.0200000000041</x:v>
      </x:c>
      <x:c r="C51" s="181" t="n">
        <x:f>IFERROR(INDEX(Sheet1!$N$5:$N$202,MATCH($A51,Sheet1!$A$5:$A$202,0)),"")</x:f>
        <x:v>76662.5</x:v>
      </x:c>
      <x:c r="D51" s="181" t="n">
        <x:f>IFERROR(INDEX(Sheet1!$N$5:$N$202,MATCH(EOMONTH($A51,-1),Sheet1!$A$5:$A$202,0)),"")</x:f>
        <x:v>77128.52</x:v>
      </x:c>
    </x:row>
    <x:row r="52">
      <x:c r="A52" s="107" t="n">
        <x:v>46022</x:v>
      </x:c>
      <x:c r="B52" s="162" t="n">
        <x:f>IF(OR(C52="",D52=""),"",C52-D52)</x:f>
        <x:v>-13844.879999999997</x:v>
      </x:c>
      <x:c r="C52" s="181" t="n">
        <x:f>IFERROR(INDEX(Sheet1!$N$5:$N$202,MATCH($A52,Sheet1!$A$5:$A$202,0)),"")</x:f>
        <x:v>62817.62</x:v>
      </x:c>
      <x:c r="D52" s="181" t="n">
        <x:f>IFERROR(INDEX(Sheet1!$N$5:$N$202,MATCH(EOMONTH($A52,-1),Sheet1!$A$5:$A$202,0)),"")</x:f>
        <x:v>76662.5</x:v>
      </x:c>
    </x:row>
    <x:row r="53">
      <x:c r="A53" s="107" t="n">
        <x:v>46053</x:v>
      </x:c>
      <x:c r="B53" s="162" t="n">
        <x:f>IF(OR(C53="",D53=""),"",C53-D53)</x:f>
        <x:v>15897.549999999996</x:v>
      </x:c>
      <x:c r="C53" s="181" t="n">
        <x:f>IFERROR(INDEX(Sheet1!$N$5:$N$202,MATCH($A53,Sheet1!$A$5:$A$202,0)),"")</x:f>
        <x:v>78715.17</x:v>
      </x:c>
      <x:c r="D53" s="181" t="n">
        <x:f>IFERROR(INDEX(Sheet1!$N$5:$N$202,MATCH(EOMONTH($A53,-1),Sheet1!$A$5:$A$202,0)),"")</x:f>
        <x:v>62817.62</x:v>
      </x:c>
    </x:row>
    <x:row r="54">
      <x:c r="A54" s="107" t="n">
        <x:v>46081</x:v>
      </x:c>
      <x:c r="B54" s="162" t="n">
        <x:f>IF(OR(C54="",D54=""),"",C54-D54)</x:f>
        <x:v>-3509.399999999994</x:v>
      </x:c>
      <x:c r="C54" s="181" t="n">
        <x:f>IFERROR(INDEX(Sheet1!$N$5:$N$202,MATCH($A54,Sheet1!$A$5:$A$202,0)),"")</x:f>
        <x:v>75205.77</x:v>
      </x:c>
      <x:c r="D54" s="181" t="n">
        <x:f>IFERROR(INDEX(Sheet1!$N$5:$N$202,MATCH(EOMONTH($A54,-1),Sheet1!$A$5:$A$202,0)),"")</x:f>
        <x:v>78715.17</x:v>
      </x:c>
    </x:row>
    <x:row r="55">
      <x:c r="A55" s="107" t="n">
        <x:v>46112</x:v>
      </x:c>
      <x:c r="B55" s="162" t="n">
        <x:f>IF(OR(C55="",D55=""),"",C55-D55)</x:f>
        <x:v>-7381.740000000005</x:v>
      </x:c>
      <x:c r="C55" s="181" t="n">
        <x:f>IFERROR(INDEX(Sheet1!$N$5:$N$202,MATCH($A55,Sheet1!$A$5:$A$202,0)),"")</x:f>
        <x:v>67824.03</x:v>
      </x:c>
      <x:c r="D55" s="181" t="n">
        <x:f>IFERROR(INDEX(Sheet1!$N$5:$N$202,MATCH(EOMONTH($A55,-1),Sheet1!$A$5:$A$202,0)),"")</x:f>
        <x:v>75205.77</x:v>
      </x:c>
    </x:row>
    <x:row r="56">
      <x:c r="A56" s="107" t="n">
        <x:v>46142</x:v>
      </x:c>
      <x:c r="B56" s="162" t="n">
        <x:f>IF(OR(C56="",D56=""),"",C56-D56)</x:f>
        <x:v>7367.050000000003</x:v>
      </x:c>
      <x:c r="C56" s="181" t="n">
        <x:f>IFERROR(INDEX(Sheet1!$N$5:$N$202,MATCH($A56,Sheet1!$A$5:$A$202,0)),"")</x:f>
        <x:v>75191.08</x:v>
      </x:c>
      <x:c r="D56" s="181" t="n">
        <x:f>IFERROR(INDEX(Sheet1!$N$5:$N$202,MATCH(EOMONTH($A56,-1),Sheet1!$A$5:$A$202,0)),"")</x:f>
        <x:v>67824.03</x:v>
      </x:c>
    </x:row>
    <x:row r="57">
      <x:c r="A57" s="107" t="n">
        <x:v>46173</x:v>
      </x:c>
      <x:c r="B57" s="162" t="n">
        <x:f>IF(OR(C57="",D57=""),"",C57-D57)</x:f>
        <x:v>7110.849999999991</x:v>
      </x:c>
      <x:c r="C57" s="181" t="n">
        <x:f>IFERROR(INDEX(Sheet1!$N$5:$N$202,MATCH($A57,Sheet1!$A$5:$A$202,0)),"")</x:f>
        <x:v>82301.93</x:v>
      </x:c>
      <x:c r="D57" s="181" t="n">
        <x:f>IFERROR(INDEX(Sheet1!$N$5:$N$202,MATCH(EOMONTH($A57,-1),Sheet1!$A$5:$A$202,0)),"")</x:f>
        <x:v>75191.08</x:v>
      </x:c>
    </x:row>
    <x:row r="58">
      <x:c r="A58" s="107" t="n">
        <x:v>46203</x:v>
      </x:c>
      <x:c r="B58" s="162" t="n">
        <x:f>IF(OR(C58="",D58=""),"",C58-D58)</x:f>
        <x:v>-9369.01999999999</x:v>
      </x:c>
      <x:c r="C58" s="181" t="n">
        <x:f>IFERROR(INDEX(Sheet1!$N$5:$N$202,MATCH($A58,Sheet1!$A$5:$A$202,0)),"")</x:f>
        <x:v>72932.91</x:v>
      </x:c>
      <x:c r="D58" s="181" t="n">
        <x:f>IFERROR(INDEX(Sheet1!$N$5:$N$202,MATCH(EOMONTH($A58,-1),Sheet1!$A$5:$A$202,0)),"")</x:f>
        <x:v>82301.93</x:v>
      </x:c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afc43280a2c2484d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166" t="str">
        <x:v>08 地方政府债券发行与净融资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  <x:c r="L1" s="166"/>
      <x:c r="M1" s="166"/>
      <x:c r="N1" s="166"/>
    </x:row>
    <x:row r="2" ht="44" customHeight="1">
      <x:c r="A2" s="168" t="str">
        <x:v>最新版HTML按用途拆分地方债发行：新增专项债 + 新增一般债 + 再融资债 = 当月地方债发行合计；净融资 = 当月发行额 − 到期偿还本金。三项发行均由Sheet4累计值做月差（1月取当年累计）；N列用于核对三项合计与地方债总发行月差应为0。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</x:row>
    <x:row r="4" ht="28" customHeight="1">
      <x:c r="A4" s="173" t="str">
        <x:v>日期</x:v>
      </x:c>
      <x:c r="B4" s="173" t="str">
        <x:v>新增专项债 (亿元)</x:v>
      </x:c>
      <x:c r="C4" s="173" t="str">
        <x:v>新增一般债 (亿元)</x:v>
      </x:c>
      <x:c r="D4" s="173" t="str">
        <x:v>再融资债 (亿元)</x:v>
      </x:c>
      <x:c r="E4" s="173" t="str">
        <x:v>净融资 (亿元)</x:v>
      </x:c>
      <x:c r="F4" s="173" t="str">
        <x:v>三项发行合计</x:v>
      </x:c>
      <x:c r="G4" s="173" t="str">
        <x:v>地方债总发行当月</x:v>
      </x:c>
      <x:c r="H4" s="173" t="str">
        <x:v>到期偿还当月</x:v>
      </x:c>
      <x:c r="I4" s="173" t="str">
        <x:v>新增专项债累计</x:v>
      </x:c>
      <x:c r="J4" s="173" t="str">
        <x:v>新增一般债累计</x:v>
      </x:c>
      <x:c r="K4" s="173" t="str">
        <x:v>再融资债累计</x:v>
      </x:c>
      <x:c r="L4" s="173" t="str">
        <x:v>地方债总发行累计</x:v>
      </x:c>
      <x:c r="M4" s="173" t="str">
        <x:v>到期偿还累计</x:v>
      </x:c>
      <x:c r="N4" s="173" t="str">
        <x:v>拆分核对差额</x:v>
      </x:c>
    </x:row>
    <x:row r="5">
      <x:c r="A5" s="107" t="n">
        <x:v>44592</x:v>
      </x:c>
      <x:c r="B5" s="102" t="n">
        <x:f>IF(I5="","",IF(MONTH($A5)=1,I5,I5-I4))</x:f>
        <x:v>4844</x:v>
      </x:c>
      <x:c r="C5" s="102" t="n">
        <x:f>IF(J5="","",IF(MONTH($A5)=1,J5,J5-J4))</x:f>
        <x:v>993</x:v>
      </x:c>
      <x:c r="D5" s="102" t="n">
        <x:f>IF(K5="","",IF(MONTH($A5)=1,K5,K5-K4))</x:f>
        <x:v>1152</x:v>
      </x:c>
      <x:c r="E5" s="102" t="n">
        <x:f>IF(OR(G5="",H5=""),"",G5-H5)</x:f>
        <x:v>6701</x:v>
      </x:c>
      <x:c r="F5" s="102" t="n">
        <x:f>IF(COUNT(B5:D5)=0,"",SUM(B5:D5))</x:f>
        <x:v>6989</x:v>
      </x:c>
      <x:c r="G5" s="102" t="n">
        <x:f>IF(L5="","",IF(MONTH($A5)=1,L5,L5-L4))</x:f>
        <x:v>6989</x:v>
      </x:c>
      <x:c r="H5" s="102" t="n">
        <x:f>IF(M5="","",IF(MONTH($A5)=1,M5,M5-M4))</x:f>
        <x:v>288</x:v>
      </x:c>
      <x:c r="I5" s="180" t="n">
        <x:f>IFERROR(INDEX(Sheet4!$E$5:$E$118,MATCH($A5,Sheet4!$A$5:$A$118,0)),"")</x:f>
        <x:v>4844</x:v>
      </x:c>
      <x:c r="J5" s="180" t="n">
        <x:f>IFERROR(INDEX(Sheet4!$F$5:$F$118,MATCH($A5,Sheet4!$A$5:$A$118,0)),"")</x:f>
        <x:v>993</x:v>
      </x:c>
      <x:c r="K5" s="180" t="n">
        <x:f>IFERROR(INDEX(Sheet4!$G$5:$G$118,MATCH($A5,Sheet4!$A$5:$A$118,0)),"")</x:f>
        <x:v>1152</x:v>
      </x:c>
      <x:c r="L5" s="180" t="n">
        <x:f>IFERROR(INDEX(Sheet1!$K$5:$K$202,MATCH($A5,Sheet1!$A$5:$A$202,0)),"")</x:f>
        <x:v>6989</x:v>
      </x:c>
      <x:c r="M5" s="180" t="n">
        <x:f>IFERROR(INDEX(Sheet1!$L$5:$L$202,MATCH($A5,Sheet1!$A$5:$A$202,0)),"")</x:f>
        <x:v>288</x:v>
      </x:c>
      <x:c r="N5" s="180" t="n">
        <x:f>IF(OR(F5="",G5=""),"",F5-G5)</x:f>
        <x:v>0</x:v>
      </x:c>
    </x:row>
    <x:row r="6">
      <x:c r="A6" s="107" t="n">
        <x:v>44620</x:v>
      </x:c>
      <x:c r="B6" s="102" t="n">
        <x:f>IF(I6="","",IF(MONTH($A6)=1,I6,I6-I5))</x:f>
        <x:v>3931</x:v>
      </x:c>
      <x:c r="C6" s="102" t="n">
        <x:f>IF(J6="","",IF(MONTH($A6)=1,J6,J6-J5))</x:f>
        <x:v>1008</x:v>
      </x:c>
      <x:c r="D6" s="102" t="n">
        <x:f>IF(K6="","",IF(MONTH($A6)=1,K6,K6-K5))</x:f>
        <x:v>132</x:v>
      </x:c>
      <x:c r="E6" s="102" t="n">
        <x:f>IF(OR(G6="",H6=""),"",G6-H6)</x:f>
        <x:v>4963</x:v>
      </x:c>
      <x:c r="F6" s="102" t="n">
        <x:f>IF(COUNT(B6:D6)=0,"",SUM(B6:D6))</x:f>
        <x:v>5071</x:v>
      </x:c>
      <x:c r="G6" s="102" t="n">
        <x:f>IF(L6="","",IF(MONTH($A6)=1,L6,L6-L5))</x:f>
        <x:v>5071</x:v>
      </x:c>
      <x:c r="H6" s="102" t="n">
        <x:f>IF(M6="","",IF(MONTH($A6)=1,M6,M6-M5))</x:f>
        <x:v>108</x:v>
      </x:c>
      <x:c r="I6" s="180" t="n">
        <x:f>IFERROR(INDEX(Sheet4!$E$5:$E$118,MATCH($A6,Sheet4!$A$5:$A$118,0)),"")</x:f>
        <x:v>8775</x:v>
      </x:c>
      <x:c r="J6" s="180" t="n">
        <x:f>IFERROR(INDEX(Sheet4!$F$5:$F$118,MATCH($A6,Sheet4!$A$5:$A$118,0)),"")</x:f>
        <x:v>2001</x:v>
      </x:c>
      <x:c r="K6" s="180" t="n">
        <x:f>IFERROR(INDEX(Sheet4!$G$5:$G$118,MATCH($A6,Sheet4!$A$5:$A$118,0)),"")</x:f>
        <x:v>1284</x:v>
      </x:c>
      <x:c r="L6" s="180" t="n">
        <x:f>IFERROR(INDEX(Sheet1!$K$5:$K$202,MATCH($A6,Sheet1!$A$5:$A$202,0)),"")</x:f>
        <x:v>12060</x:v>
      </x:c>
      <x:c r="M6" s="180" t="n">
        <x:f>IFERROR(INDEX(Sheet1!$L$5:$L$202,MATCH($A6,Sheet1!$A$5:$A$202,0)),"")</x:f>
        <x:v>396</x:v>
      </x:c>
      <x:c r="N6" s="180" t="n">
        <x:f>IF(OR(F6="",G6=""),"",F6-G6)</x:f>
        <x:v>0</x:v>
      </x:c>
    </x:row>
    <x:row r="7">
      <x:c r="A7" s="107" t="n">
        <x:v>44651</x:v>
      </x:c>
      <x:c r="B7" s="102" t="n">
        <x:f>IF(I7="","",IF(MONTH($A7)=1,I7,I7-I6))</x:f>
        <x:v>4205</x:v>
      </x:c>
      <x:c r="C7" s="102" t="n">
        <x:f>IF(J7="","",IF(MONTH($A7)=1,J7,J7-J6))</x:f>
        <x:v>720</x:v>
      </x:c>
      <x:c r="D7" s="102" t="n">
        <x:f>IF(K7="","",IF(MONTH($A7)=1,K7,K7-K6))</x:f>
        <x:v>1261</x:v>
      </x:c>
      <x:c r="E7" s="102" t="n">
        <x:f>IF(OR(G7="",H7=""),"",G7-H7)</x:f>
        <x:v>5032</x:v>
      </x:c>
      <x:c r="F7" s="102" t="n">
        <x:f>IF(COUNT(B7:D7)=0,"",SUM(B7:D7))</x:f>
        <x:v>6186</x:v>
      </x:c>
      <x:c r="G7" s="102" t="n">
        <x:f>IF(L7="","",IF(MONTH($A7)=1,L7,L7-L6))</x:f>
        <x:v>6186</x:v>
      </x:c>
      <x:c r="H7" s="102" t="n">
        <x:f>IF(M7="","",IF(MONTH($A7)=1,M7,M7-M6))</x:f>
        <x:v>1154</x:v>
      </x:c>
      <x:c r="I7" s="180" t="n">
        <x:f>IFERROR(INDEX(Sheet4!$E$5:$E$118,MATCH($A7,Sheet4!$A$5:$A$118,0)),"")</x:f>
        <x:v>12980</x:v>
      </x:c>
      <x:c r="J7" s="180" t="n">
        <x:f>IFERROR(INDEX(Sheet4!$F$5:$F$118,MATCH($A7,Sheet4!$A$5:$A$118,0)),"")</x:f>
        <x:v>2721</x:v>
      </x:c>
      <x:c r="K7" s="180" t="n">
        <x:f>IFERROR(INDEX(Sheet4!$G$5:$G$118,MATCH($A7,Sheet4!$A$5:$A$118,0)),"")</x:f>
        <x:v>2545</x:v>
      </x:c>
      <x:c r="L7" s="180" t="n">
        <x:f>IFERROR(INDEX(Sheet1!$K$5:$K$202,MATCH($A7,Sheet1!$A$5:$A$202,0)),"")</x:f>
        <x:v>18246</x:v>
      </x:c>
      <x:c r="M7" s="180" t="n">
        <x:f>IFERROR(INDEX(Sheet1!$L$5:$L$202,MATCH($A7,Sheet1!$A$5:$A$202,0)),"")</x:f>
        <x:v>1550</x:v>
      </x:c>
      <x:c r="N7" s="180" t="n">
        <x:f>IF(OR(F7="",G7=""),"",F7-G7)</x:f>
        <x:v>0</x:v>
      </x:c>
    </x:row>
    <x:row r="8">
      <x:c r="A8" s="107" t="n">
        <x:v>44681</x:v>
      </x:c>
      <x:c r="B8" s="102" t="n">
        <x:f>IF(I8="","",IF(MONTH($A8)=1,I8,I8-I7))</x:f>
        <x:v>1039</x:v>
      </x:c>
      <x:c r="C8" s="102" t="n">
        <x:f>IF(J8="","",IF(MONTH($A8)=1,J8,J8-J7))</x:f>
        <x:v>169</x:v>
      </x:c>
      <x:c r="D8" s="102" t="n">
        <x:f>IF(K8="","",IF(MONTH($A8)=1,K8,K8-K7))</x:f>
        <x:v>1634</x:v>
      </x:c>
      <x:c r="E8" s="102" t="n">
        <x:f>IF(OR(G8="",H8=""),"",G8-H8)</x:f>
        <x:v>1474</x:v>
      </x:c>
      <x:c r="F8" s="102" t="n">
        <x:f>IF(COUNT(B8:D8)=0,"",SUM(B8:D8))</x:f>
        <x:v>2842</x:v>
      </x:c>
      <x:c r="G8" s="102" t="n">
        <x:f>IF(L8="","",IF(MONTH($A8)=1,L8,L8-L7))</x:f>
        <x:v>2842</x:v>
      </x:c>
      <x:c r="H8" s="102" t="n">
        <x:f>IF(M8="","",IF(MONTH($A8)=1,M8,M8-M7))</x:f>
        <x:v>1368</x:v>
      </x:c>
      <x:c r="I8" s="180" t="n">
        <x:f>IFERROR(INDEX(Sheet4!$E$5:$E$118,MATCH($A8,Sheet4!$A$5:$A$118,0)),"")</x:f>
        <x:v>14019</x:v>
      </x:c>
      <x:c r="J8" s="180" t="n">
        <x:f>IFERROR(INDEX(Sheet4!$F$5:$F$118,MATCH($A8,Sheet4!$A$5:$A$118,0)),"")</x:f>
        <x:v>2890</x:v>
      </x:c>
      <x:c r="K8" s="180" t="n">
        <x:f>IFERROR(INDEX(Sheet4!$G$5:$G$118,MATCH($A8,Sheet4!$A$5:$A$118,0)),"")</x:f>
        <x:v>4179</x:v>
      </x:c>
      <x:c r="L8" s="180" t="n">
        <x:f>IFERROR(INDEX(Sheet1!$K$5:$K$202,MATCH($A8,Sheet1!$A$5:$A$202,0)),"")</x:f>
        <x:v>21088</x:v>
      </x:c>
      <x:c r="M8" s="180" t="n">
        <x:f>IFERROR(INDEX(Sheet1!$L$5:$L$202,MATCH($A8,Sheet1!$A$5:$A$202,0)),"")</x:f>
        <x:v>2918</x:v>
      </x:c>
      <x:c r="N8" s="180" t="n">
        <x:f>IF(OR(F8="",G8=""),"",F8-G8)</x:f>
        <x:v>0</x:v>
      </x:c>
    </x:row>
    <x:row r="9">
      <x:c r="A9" s="107" t="n">
        <x:v>44712</x:v>
      </x:c>
      <x:c r="B9" s="102" t="n">
        <x:f>IF(I9="","",IF(MONTH($A9)=1,I9,I9-I8))</x:f>
        <x:v>6320</x:v>
      </x:c>
      <x:c r="C9" s="102" t="n">
        <x:f>IF(J9="","",IF(MONTH($A9)=1,J9,J9-J8))</x:f>
        <x:v>1216</x:v>
      </x:c>
      <x:c r="D9" s="102" t="n">
        <x:f>IF(K9="","",IF(MONTH($A9)=1,K9,K9-K8))</x:f>
        <x:v>4541</x:v>
      </x:c>
      <x:c r="E9" s="102" t="n">
        <x:f>IF(OR(G9="",H9=""),"",G9-H9)</x:f>
        <x:v>9639</x:v>
      </x:c>
      <x:c r="F9" s="102" t="n">
        <x:f>IF(COUNT(B9:D9)=0,"",SUM(B9:D9))</x:f>
        <x:v>12077</x:v>
      </x:c>
      <x:c r="G9" s="102" t="n">
        <x:f>IF(L9="","",IF(MONTH($A9)=1,L9,L9-L8))</x:f>
        <x:v>12077</x:v>
      </x:c>
      <x:c r="H9" s="102" t="n">
        <x:f>IF(M9="","",IF(MONTH($A9)=1,M9,M9-M8))</x:f>
        <x:v>2438</x:v>
      </x:c>
      <x:c r="I9" s="180" t="n">
        <x:f>IFERROR(INDEX(Sheet4!$E$5:$E$118,MATCH($A9,Sheet4!$A$5:$A$118,0)),"")</x:f>
        <x:v>20339</x:v>
      </x:c>
      <x:c r="J9" s="180" t="n">
        <x:f>IFERROR(INDEX(Sheet4!$F$5:$F$118,MATCH($A9,Sheet4!$A$5:$A$118,0)),"")</x:f>
        <x:v>4106</x:v>
      </x:c>
      <x:c r="K9" s="180" t="n">
        <x:f>IFERROR(INDEX(Sheet4!$G$5:$G$118,MATCH($A9,Sheet4!$A$5:$A$118,0)),"")</x:f>
        <x:v>8720</x:v>
      </x:c>
      <x:c r="L9" s="180" t="n">
        <x:f>IFERROR(INDEX(Sheet1!$K$5:$K$202,MATCH($A9,Sheet1!$A$5:$A$202,0)),"")</x:f>
        <x:v>33165</x:v>
      </x:c>
      <x:c r="M9" s="180" t="n">
        <x:f>IFERROR(INDEX(Sheet1!$L$5:$L$202,MATCH($A9,Sheet1!$A$5:$A$202,0)),"")</x:f>
        <x:v>5356</x:v>
      </x:c>
      <x:c r="N9" s="180" t="n">
        <x:f>IF(OR(F9="",G9=""),"",F9-G9)</x:f>
        <x:v>0</x:v>
      </x:c>
    </x:row>
    <x:row r="10">
      <x:c r="A10" s="107" t="n">
        <x:v>44742</x:v>
      </x:c>
      <x:c r="B10" s="102" t="n">
        <x:f>IF(I10="","",IF(MONTH($A10)=1,I10,I10-I9))</x:f>
        <x:v>13723</x:v>
      </x:c>
      <x:c r="C10" s="102" t="n">
        <x:f>IF(J10="","",IF(MONTH($A10)=1,J10,J10-J9))</x:f>
        <x:v>2042</x:v>
      </x:c>
      <x:c r="D10" s="102" t="n">
        <x:f>IF(K10="","",IF(MONTH($A10)=1,K10,K10-K9))</x:f>
        <x:v>3572</x:v>
      </x:c>
      <x:c r="E10" s="102" t="n">
        <x:f>IF(OR(G10="",H10=""),"",G10-H10)</x:f>
        <x:v>14994</x:v>
      </x:c>
      <x:c r="F10" s="102" t="n">
        <x:f>IF(COUNT(B10:D10)=0,"",SUM(B10:D10))</x:f>
        <x:v>19337</x:v>
      </x:c>
      <x:c r="G10" s="102" t="n">
        <x:f>IF(L10="","",IF(MONTH($A10)=1,L10,L10-L9))</x:f>
        <x:v>19337</x:v>
      </x:c>
      <x:c r="H10" s="102" t="n">
        <x:f>IF(M10="","",IF(MONTH($A10)=1,M10,M10-M9))</x:f>
        <x:v>4343</x:v>
      </x:c>
      <x:c r="I10" s="180" t="n">
        <x:f>IFERROR(INDEX(Sheet4!$E$5:$E$118,MATCH($A10,Sheet4!$A$5:$A$118,0)),"")</x:f>
        <x:v>34062</x:v>
      </x:c>
      <x:c r="J10" s="180" t="n">
        <x:f>IFERROR(INDEX(Sheet4!$F$5:$F$118,MATCH($A10,Sheet4!$A$5:$A$118,0)),"")</x:f>
        <x:v>6148</x:v>
      </x:c>
      <x:c r="K10" s="180" t="n">
        <x:f>IFERROR(INDEX(Sheet4!$G$5:$G$118,MATCH($A10,Sheet4!$A$5:$A$118,0)),"")</x:f>
        <x:v>12292</x:v>
      </x:c>
      <x:c r="L10" s="180" t="n">
        <x:f>IFERROR(INDEX(Sheet1!$K$5:$K$202,MATCH($A10,Sheet1!$A$5:$A$202,0)),"")</x:f>
        <x:v>52502</x:v>
      </x:c>
      <x:c r="M10" s="180" t="n">
        <x:f>IFERROR(INDEX(Sheet1!$L$5:$L$202,MATCH($A10,Sheet1!$A$5:$A$202,0)),"")</x:f>
        <x:v>9699</x:v>
      </x:c>
      <x:c r="N10" s="180" t="n">
        <x:f>IF(OR(F10="",G10=""),"",F10-G10)</x:f>
        <x:v>0</x:v>
      </x:c>
    </x:row>
    <x:row r="11">
      <x:c r="A11" s="107" t="n">
        <x:v>44773</x:v>
      </x:c>
      <x:c r="B11" s="102" t="n">
        <x:f>IF(I11="","",IF(MONTH($A11)=1,I11,I11-I10))</x:f>
        <x:v>613</x:v>
      </x:c>
      <x:c r="C11" s="102" t="n">
        <x:f>IF(J11="","",IF(MONTH($A11)=1,J11,J11-J10))</x:f>
        <x:v>635</x:v>
      </x:c>
      <x:c r="D11" s="102" t="n">
        <x:f>IF(K11="","",IF(MONTH($A11)=1,K11,K11-K10))</x:f>
        <x:v>2815</x:v>
      </x:c>
      <x:c r="E11" s="102" t="n">
        <x:f>IF(OR(G11="",H11=""),"",G11-H11)</x:f>
        <x:v>-857</x:v>
      </x:c>
      <x:c r="F11" s="102" t="n">
        <x:f>IF(COUNT(B11:D11)=0,"",SUM(B11:D11))</x:f>
        <x:v>4063</x:v>
      </x:c>
      <x:c r="G11" s="102" t="n">
        <x:f>IF(L11="","",IF(MONTH($A11)=1,L11,L11-L10))</x:f>
        <x:v>4063</x:v>
      </x:c>
      <x:c r="H11" s="102" t="n">
        <x:f>IF(M11="","",IF(MONTH($A11)=1,M11,M11-M10))</x:f>
        <x:v>4920</x:v>
      </x:c>
      <x:c r="I11" s="180" t="n">
        <x:f>IFERROR(INDEX(Sheet4!$E$5:$E$118,MATCH($A11,Sheet4!$A$5:$A$118,0)),"")</x:f>
        <x:v>34675</x:v>
      </x:c>
      <x:c r="J11" s="180" t="n">
        <x:f>IFERROR(INDEX(Sheet4!$F$5:$F$118,MATCH($A11,Sheet4!$A$5:$A$118,0)),"")</x:f>
        <x:v>6783</x:v>
      </x:c>
      <x:c r="K11" s="180" t="n">
        <x:f>IFERROR(INDEX(Sheet4!$G$5:$G$118,MATCH($A11,Sheet4!$A$5:$A$118,0)),"")</x:f>
        <x:v>15107</x:v>
      </x:c>
      <x:c r="L11" s="180" t="n">
        <x:f>IFERROR(INDEX(Sheet1!$K$5:$K$202,MATCH($A11,Sheet1!$A$5:$A$202,0)),"")</x:f>
        <x:v>56565</x:v>
      </x:c>
      <x:c r="M11" s="180" t="n">
        <x:f>IFERROR(INDEX(Sheet1!$L$5:$L$202,MATCH($A11,Sheet1!$A$5:$A$202,0)),"")</x:f>
        <x:v>14619</x:v>
      </x:c>
      <x:c r="N11" s="180" t="n">
        <x:f>IF(OR(F11="",G11=""),"",F11-G11)</x:f>
        <x:v>0</x:v>
      </x:c>
    </x:row>
    <x:row r="12">
      <x:c r="A12" s="107" t="n">
        <x:v>44804</x:v>
      </x:c>
      <x:c r="B12" s="102" t="n">
        <x:f>IF(I12="","",IF(MONTH($A12)=1,I12,I12-I11))</x:f>
        <x:v>516</x:v>
      </x:c>
      <x:c r="C12" s="102" t="n">
        <x:f>IF(J12="","",IF(MONTH($A12)=1,J12,J12-J11))</x:f>
        <x:v>126</x:v>
      </x:c>
      <x:c r="D12" s="102" t="n">
        <x:f>IF(K12="","",IF(MONTH($A12)=1,K12,K12-K11))</x:f>
        <x:v>3267</x:v>
      </x:c>
      <x:c r="E12" s="102" t="n">
        <x:f>IF(OR(G12="",H12=""),"",G12-H12)</x:f>
        <x:v>1191</x:v>
      </x:c>
      <x:c r="F12" s="102" t="n">
        <x:f>IF(COUNT(B12:D12)=0,"",SUM(B12:D12))</x:f>
        <x:v>3909</x:v>
      </x:c>
      <x:c r="G12" s="102" t="n">
        <x:f>IF(L12="","",IF(MONTH($A12)=1,L12,L12-L11))</x:f>
        <x:v>3909</x:v>
      </x:c>
      <x:c r="H12" s="102" t="n">
        <x:f>IF(M12="","",IF(MONTH($A12)=1,M12,M12-M11))</x:f>
        <x:v>2718</x:v>
      </x:c>
      <x:c r="I12" s="180" t="n">
        <x:f>IFERROR(INDEX(Sheet4!$E$5:$E$118,MATCH($A12,Sheet4!$A$5:$A$118,0)),"")</x:f>
        <x:v>35191</x:v>
      </x:c>
      <x:c r="J12" s="180" t="n">
        <x:f>IFERROR(INDEX(Sheet4!$F$5:$F$118,MATCH($A12,Sheet4!$A$5:$A$118,0)),"")</x:f>
        <x:v>6909</x:v>
      </x:c>
      <x:c r="K12" s="180" t="n">
        <x:f>IFERROR(INDEX(Sheet4!$G$5:$G$118,MATCH($A12,Sheet4!$A$5:$A$118,0)),"")</x:f>
        <x:v>18374</x:v>
      </x:c>
      <x:c r="L12" s="180" t="n">
        <x:f>IFERROR(INDEX(Sheet1!$K$5:$K$202,MATCH($A12,Sheet1!$A$5:$A$202,0)),"")</x:f>
        <x:v>60474</x:v>
      </x:c>
      <x:c r="M12" s="180" t="n">
        <x:f>IFERROR(INDEX(Sheet1!$L$5:$L$202,MATCH($A12,Sheet1!$A$5:$A$202,0)),"")</x:f>
        <x:v>17337</x:v>
      </x:c>
      <x:c r="N12" s="180" t="n">
        <x:f>IF(OR(F12="",G12=""),"",F12-G12)</x:f>
        <x:v>0</x:v>
      </x:c>
    </x:row>
    <x:row r="13">
      <x:c r="A13" s="107" t="n">
        <x:v>44834</x:v>
      </x:c>
      <x:c r="B13" s="102" t="n">
        <x:f>IF(I13="","",IF(MONTH($A13)=1,I13,I13-I12))</x:f>
        <x:v>241</x:v>
      </x:c>
      <x:c r="C13" s="102" t="n">
        <x:f>IF(J13="","",IF(MONTH($A13)=1,J13,J13-J12))</x:f>
        <x:v>81</x:v>
      </x:c>
      <x:c r="D13" s="102" t="n">
        <x:f>IF(K13="","",IF(MONTH($A13)=1,K13,K13-K12))</x:f>
        <x:v>2689</x:v>
      </x:c>
      <x:c r="E13" s="102" t="n">
        <x:f>IF(OR(G13="",H13=""),"",G13-H13)</x:f>
        <x:v>-714</x:v>
      </x:c>
      <x:c r="F13" s="102" t="n">
        <x:f>IF(COUNT(B13:D13)=0,"",SUM(B13:D13))</x:f>
        <x:v>3011</x:v>
      </x:c>
      <x:c r="G13" s="102" t="n">
        <x:f>IF(L13="","",IF(MONTH($A13)=1,L13,L13-L12))</x:f>
        <x:v>3011</x:v>
      </x:c>
      <x:c r="H13" s="102" t="n">
        <x:f>IF(M13="","",IF(MONTH($A13)=1,M13,M13-M12))</x:f>
        <x:v>3725</x:v>
      </x:c>
      <x:c r="I13" s="180" t="n">
        <x:f>IFERROR(INDEX(Sheet4!$E$5:$E$118,MATCH($A13,Sheet4!$A$5:$A$118,0)),"")</x:f>
        <x:v>35432</x:v>
      </x:c>
      <x:c r="J13" s="180" t="n">
        <x:f>IFERROR(INDEX(Sheet4!$F$5:$F$118,MATCH($A13,Sheet4!$A$5:$A$118,0)),"")</x:f>
        <x:v>6990</x:v>
      </x:c>
      <x:c r="K13" s="180" t="n">
        <x:f>IFERROR(INDEX(Sheet4!$G$5:$G$118,MATCH($A13,Sheet4!$A$5:$A$118,0)),"")</x:f>
        <x:v>21063</x:v>
      </x:c>
      <x:c r="L13" s="180" t="n">
        <x:f>IFERROR(INDEX(Sheet1!$K$5:$K$202,MATCH($A13,Sheet1!$A$5:$A$202,0)),"")</x:f>
        <x:v>63485</x:v>
      </x:c>
      <x:c r="M13" s="180" t="n">
        <x:f>IFERROR(INDEX(Sheet1!$L$5:$L$202,MATCH($A13,Sheet1!$A$5:$A$202,0)),"")</x:f>
        <x:v>21062</x:v>
      </x:c>
      <x:c r="N13" s="180" t="n">
        <x:f>IF(OR(F13="",G13=""),"",F13-G13)</x:f>
        <x:v>0</x:v>
      </x:c>
    </x:row>
    <x:row r="14">
      <x:c r="A14" s="107" t="n">
        <x:v>44865</x:v>
      </x:c>
      <x:c r="B14" s="102" t="n">
        <x:f>IF(I14="","",IF(MONTH($A14)=1,I14,I14-I13))</x:f>
        <x:v>4399</x:v>
      </x:c>
      <x:c r="C14" s="102" t="n">
        <x:f>IF(J14="","",IF(MONTH($A14)=1,J14,J14-J13))</x:f>
        <x:v>156</x:v>
      </x:c>
      <x:c r="D14" s="102" t="n">
        <x:f>IF(K14="","",IF(MONTH($A14)=1,K14,K14-K13))</x:f>
        <x:v>2252</x:v>
      </x:c>
      <x:c r="E14" s="102" t="n">
        <x:f>IF(OR(G14="",H14=""),"",G14-H14)</x:f>
        <x:v>4565</x:v>
      </x:c>
      <x:c r="F14" s="102" t="n">
        <x:f>IF(COUNT(B14:D14)=0,"",SUM(B14:D14))</x:f>
        <x:v>6807</x:v>
      </x:c>
      <x:c r="G14" s="102" t="n">
        <x:f>IF(L14="","",IF(MONTH($A14)=1,L14,L14-L13))</x:f>
        <x:v>6807</x:v>
      </x:c>
      <x:c r="H14" s="102" t="n">
        <x:f>IF(M14="","",IF(MONTH($A14)=1,M14,M14-M13))</x:f>
        <x:v>2242</x:v>
      </x:c>
      <x:c r="I14" s="180" t="n">
        <x:f>IFERROR(INDEX(Sheet4!$E$5:$E$118,MATCH($A14,Sheet4!$A$5:$A$118,0)),"")</x:f>
        <x:v>39831</x:v>
      </x:c>
      <x:c r="J14" s="180" t="n">
        <x:f>IFERROR(INDEX(Sheet4!$F$5:$F$118,MATCH($A14,Sheet4!$A$5:$A$118,0)),"")</x:f>
        <x:v>7146</x:v>
      </x:c>
      <x:c r="K14" s="180" t="n">
        <x:f>IFERROR(INDEX(Sheet4!$G$5:$G$118,MATCH($A14,Sheet4!$A$5:$A$118,0)),"")</x:f>
        <x:v>23315</x:v>
      </x:c>
      <x:c r="L14" s="180" t="n">
        <x:f>IFERROR(INDEX(Sheet1!$K$5:$K$202,MATCH($A14,Sheet1!$A$5:$A$202,0)),"")</x:f>
        <x:v>70292</x:v>
      </x:c>
      <x:c r="M14" s="180" t="n">
        <x:f>IFERROR(INDEX(Sheet1!$L$5:$L$202,MATCH($A14,Sheet1!$A$5:$A$202,0)),"")</x:f>
        <x:v>23304</x:v>
      </x:c>
      <x:c r="N14" s="180" t="n">
        <x:f>IF(OR(F14="",G14=""),"",F14-G14)</x:f>
        <x:v>0</x:v>
      </x:c>
    </x:row>
    <x:row r="15">
      <x:c r="A15" s="107" t="n">
        <x:v>44895</x:v>
      </x:c>
      <x:c r="B15" s="102" t="n">
        <x:f>IF(I15="","",IF(MONTH($A15)=1,I15,I15-I14))</x:f>
        <x:v>455</x:v>
      </x:c>
      <x:c r="C15" s="102" t="n">
        <x:f>IF(J15="","",IF(MONTH($A15)=1,J15,J15-J14))</x:f>
        <x:v>36</x:v>
      </x:c>
      <x:c r="D15" s="102" t="n">
        <x:f>IF(K15="","",IF(MONTH($A15)=1,K15,K15-K14))</x:f>
        <x:v>1978</x:v>
      </x:c>
      <x:c r="E15" s="102" t="n">
        <x:f>IF(OR(G15="",H15=""),"",G15-H15)</x:f>
        <x:v>-1324</x:v>
      </x:c>
      <x:c r="F15" s="102" t="n">
        <x:f>IF(COUNT(B15:D15)=0,"",SUM(B15:D15))</x:f>
        <x:v>2469</x:v>
      </x:c>
      <x:c r="G15" s="102" t="n">
        <x:f>IF(L15="","",IF(MONTH($A15)=1,L15,L15-L14))</x:f>
        <x:v>2469</x:v>
      </x:c>
      <x:c r="H15" s="102" t="n">
        <x:f>IF(M15="","",IF(MONTH($A15)=1,M15,M15-M14))</x:f>
        <x:v>3793</x:v>
      </x:c>
      <x:c r="I15" s="180" t="n">
        <x:f>IFERROR(INDEX(Sheet4!$E$5:$E$118,MATCH($A15,Sheet4!$A$5:$A$118,0)),"")</x:f>
        <x:v>40286</x:v>
      </x:c>
      <x:c r="J15" s="180" t="n">
        <x:f>IFERROR(INDEX(Sheet4!$F$5:$F$118,MATCH($A15,Sheet4!$A$5:$A$118,0)),"")</x:f>
        <x:v>7182</x:v>
      </x:c>
      <x:c r="K15" s="180" t="n">
        <x:f>IFERROR(INDEX(Sheet4!$G$5:$G$118,MATCH($A15,Sheet4!$A$5:$A$118,0)),"")</x:f>
        <x:v>25293</x:v>
      </x:c>
      <x:c r="L15" s="180" t="n">
        <x:f>IFERROR(INDEX(Sheet1!$K$5:$K$202,MATCH($A15,Sheet1!$A$5:$A$202,0)),"")</x:f>
        <x:v>72761</x:v>
      </x:c>
      <x:c r="M15" s="180" t="n">
        <x:f>IFERROR(INDEX(Sheet1!$L$5:$L$202,MATCH($A15,Sheet1!$A$5:$A$202,0)),"")</x:f>
        <x:v>27097</x:v>
      </x:c>
      <x:c r="N15" s="180" t="n">
        <x:f>IF(OR(F15="",G15=""),"",F15-G15)</x:f>
        <x:v>0</x:v>
      </x:c>
    </x:row>
    <x:row r="16">
      <x:c r="A16" s="107" t="n">
        <x:v>44926</x:v>
      </x:c>
      <x:c r="B16" s="102" t="n">
        <x:f>IF(I16="","",IF(MONTH($A16)=1,I16,I16-I15))</x:f>
        <x:v>98</x:v>
      </x:c>
      <x:c r="C16" s="102" t="n">
        <x:f>IF(J16="","",IF(MONTH($A16)=1,J16,J16-J15))</x:f>
        <x:v>0</x:v>
      </x:c>
      <x:c r="D16" s="102" t="n">
        <x:f>IF(K16="","",IF(MONTH($A16)=1,K16,K16-K15))</x:f>
        <x:v>817</x:v>
      </x:c>
      <x:c r="E16" s="102" t="n">
        <x:f>IF(OR(G16="",H16=""),"",G16-H16)</x:f>
        <x:v>254</x:v>
      </x:c>
      <x:c r="F16" s="102" t="n">
        <x:f>IF(COUNT(B16:D16)=0,"",SUM(B16:D16))</x:f>
        <x:v>915</x:v>
      </x:c>
      <x:c r="G16" s="102" t="n">
        <x:f>IF(L16="","",IF(MONTH($A16)=1,L16,L16-L15))</x:f>
        <x:v>915</x:v>
      </x:c>
      <x:c r="H16" s="102" t="n">
        <x:f>IF(M16="","",IF(MONTH($A16)=1,M16,M16-M15))</x:f>
        <x:v>661</x:v>
      </x:c>
      <x:c r="I16" s="180" t="n">
        <x:f>IFERROR(INDEX(Sheet4!$E$5:$E$118,MATCH($A16,Sheet4!$A$5:$A$118,0)),"")</x:f>
        <x:v>40384</x:v>
      </x:c>
      <x:c r="J16" s="180" t="n">
        <x:f>IFERROR(INDEX(Sheet4!$F$5:$F$118,MATCH($A16,Sheet4!$A$5:$A$118,0)),"")</x:f>
        <x:v>7182</x:v>
      </x:c>
      <x:c r="K16" s="180" t="n">
        <x:f>IFERROR(INDEX(Sheet4!$G$5:$G$118,MATCH($A16,Sheet4!$A$5:$A$118,0)),"")</x:f>
        <x:v>26110</x:v>
      </x:c>
      <x:c r="L16" s="180" t="n">
        <x:f>IFERROR(INDEX(Sheet1!$K$5:$K$202,MATCH($A16,Sheet1!$A$5:$A$202,0)),"")</x:f>
        <x:v>73676</x:v>
      </x:c>
      <x:c r="M16" s="180" t="n">
        <x:f>IFERROR(INDEX(Sheet1!$L$5:$L$202,MATCH($A16,Sheet1!$A$5:$A$202,0)),"")</x:f>
        <x:v>27758</x:v>
      </x:c>
      <x:c r="N16" s="180" t="n">
        <x:f>IF(OR(F16="",G16=""),"",F16-G16)</x:f>
        <x:v>0</x:v>
      </x:c>
    </x:row>
    <x:row r="17">
      <x:c r="A17" s="107" t="n">
        <x:v>44957</x:v>
      </x:c>
      <x:c r="B17" s="102" t="n">
        <x:f>IF(I17="","",IF(MONTH($A17)=1,I17,I17-I16))</x:f>
        <x:v>4912</x:v>
      </x:c>
      <x:c r="C17" s="102" t="n">
        <x:f>IF(J17="","",IF(MONTH($A17)=1,J17,J17-J16))</x:f>
        <x:v>1346</x:v>
      </x:c>
      <x:c r="D17" s="102" t="n">
        <x:f>IF(K17="","",IF(MONTH($A17)=1,K17,K17-K16))</x:f>
        <x:v>177</x:v>
      </x:c>
      <x:c r="E17" s="102" t="n">
        <x:f>IF(OR(G17="",H17=""),"",G17-H17)</x:f>
        <x:v>6400</x:v>
      </x:c>
      <x:c r="F17" s="102" t="n">
        <x:f>IF(COUNT(B17:D17)=0,"",SUM(B17:D17))</x:f>
        <x:v>6435</x:v>
      </x:c>
      <x:c r="G17" s="102" t="n">
        <x:f>IF(L17="","",IF(MONTH($A17)=1,L17,L17-L16))</x:f>
        <x:v>6435</x:v>
      </x:c>
      <x:c r="H17" s="102" t="n">
        <x:f>IF(M17="","",IF(MONTH($A17)=1,M17,M17-M16))</x:f>
        <x:v>35</x:v>
      </x:c>
      <x:c r="I17" s="180" t="n">
        <x:f>IFERROR(INDEX(Sheet4!$E$5:$E$118,MATCH($A17,Sheet4!$A$5:$A$118,0)),"")</x:f>
        <x:v>4912</x:v>
      </x:c>
      <x:c r="J17" s="180" t="n">
        <x:f>IFERROR(INDEX(Sheet4!$F$5:$F$118,MATCH($A17,Sheet4!$A$5:$A$118,0)),"")</x:f>
        <x:v>1346</x:v>
      </x:c>
      <x:c r="K17" s="180" t="n">
        <x:f>IFERROR(INDEX(Sheet4!$G$5:$G$118,MATCH($A17,Sheet4!$A$5:$A$118,0)),"")</x:f>
        <x:v>177</x:v>
      </x:c>
      <x:c r="L17" s="180" t="n">
        <x:f>IFERROR(INDEX(Sheet1!$K$5:$K$202,MATCH($A17,Sheet1!$A$5:$A$202,0)),"")</x:f>
        <x:v>6435</x:v>
      </x:c>
      <x:c r="M17" s="180" t="n">
        <x:f>IFERROR(INDEX(Sheet1!$L$5:$L$202,MATCH($A17,Sheet1!$A$5:$A$202,0)),"")</x:f>
        <x:v>35</x:v>
      </x:c>
      <x:c r="N17" s="180" t="n">
        <x:f>IF(OR(F17="",G17=""),"",F17-G17)</x:f>
        <x:v>0</x:v>
      </x:c>
    </x:row>
    <x:row r="18">
      <x:c r="A18" s="107" t="n">
        <x:v>44985</x:v>
      </x:c>
      <x:c r="B18" s="102" t="n">
        <x:f>IF(I18="","",IF(MONTH($A18)=1,I18,I18-I17))</x:f>
        <x:v>3357</x:v>
      </x:c>
      <x:c r="C18" s="102" t="n">
        <x:f>IF(J18="","",IF(MONTH($A18)=1,J18,J18-J17))</x:f>
        <x:v>1062</x:v>
      </x:c>
      <x:c r="D18" s="102" t="n">
        <x:f>IF(K18="","",IF(MONTH($A18)=1,K18,K18-K17))</x:f>
        <x:v>1342</x:v>
      </x:c>
      <x:c r="E18" s="102" t="n">
        <x:f>IF(OR(G18="",H18=""),"",G18-H18)</x:f>
        <x:v>5250</x:v>
      </x:c>
      <x:c r="F18" s="102" t="n">
        <x:f>IF(COUNT(B18:D18)=0,"",SUM(B18:D18))</x:f>
        <x:v>5761</x:v>
      </x:c>
      <x:c r="G18" s="102" t="n">
        <x:f>IF(L18="","",IF(MONTH($A18)=1,L18,L18-L17))</x:f>
        <x:v>5761</x:v>
      </x:c>
      <x:c r="H18" s="102" t="n">
        <x:f>IF(M18="","",IF(MONTH($A18)=1,M18,M18-M17))</x:f>
        <x:v>511</x:v>
      </x:c>
      <x:c r="I18" s="180" t="n">
        <x:f>IFERROR(INDEX(Sheet4!$E$5:$E$118,MATCH($A18,Sheet4!$A$5:$A$118,0)),"")</x:f>
        <x:v>8269</x:v>
      </x:c>
      <x:c r="J18" s="180" t="n">
        <x:f>IFERROR(INDEX(Sheet4!$F$5:$F$118,MATCH($A18,Sheet4!$A$5:$A$118,0)),"")</x:f>
        <x:v>2408</x:v>
      </x:c>
      <x:c r="K18" s="180" t="n">
        <x:f>IFERROR(INDEX(Sheet4!$G$5:$G$118,MATCH($A18,Sheet4!$A$5:$A$118,0)),"")</x:f>
        <x:v>1519</x:v>
      </x:c>
      <x:c r="L18" s="180" t="n">
        <x:f>IFERROR(INDEX(Sheet1!$K$5:$K$202,MATCH($A18,Sheet1!$A$5:$A$202,0)),"")</x:f>
        <x:v>12196</x:v>
      </x:c>
      <x:c r="M18" s="180" t="n">
        <x:f>IFERROR(INDEX(Sheet1!$L$5:$L$202,MATCH($A18,Sheet1!$A$5:$A$202,0)),"")</x:f>
        <x:v>546</x:v>
      </x:c>
      <x:c r="N18" s="180" t="n">
        <x:f>IF(OR(F18="",G18=""),"",F18-G18)</x:f>
        <x:v>0</x:v>
      </x:c>
    </x:row>
    <x:row r="19">
      <x:c r="A19" s="107" t="n">
        <x:v>45016</x:v>
      </x:c>
      <x:c r="B19" s="102" t="n">
        <x:f>IF(I19="","",IF(MONTH($A19)=1,I19,I19-I18))</x:f>
        <x:v>5299</x:v>
      </x:c>
      <x:c r="C19" s="102" t="n">
        <x:f>IF(J19="","",IF(MONTH($A19)=1,J19,J19-J18))</x:f>
        <x:v>718</x:v>
      </x:c>
      <x:c r="D19" s="102" t="n">
        <x:f>IF(K19="","",IF(MONTH($A19)=1,K19,K19-K18))</x:f>
        <x:v>2883</x:v>
      </x:c>
      <x:c r="E19" s="102" t="n">
        <x:f>IF(OR(G19="",H19=""),"",G19-H19)</x:f>
        <x:v>5822</x:v>
      </x:c>
      <x:c r="F19" s="102" t="n">
        <x:f>IF(COUNT(B19:D19)=0,"",SUM(B19:D19))</x:f>
        <x:v>8900</x:v>
      </x:c>
      <x:c r="G19" s="102" t="n">
        <x:f>IF(L19="","",IF(MONTH($A19)=1,L19,L19-L18))</x:f>
        <x:v>8900</x:v>
      </x:c>
      <x:c r="H19" s="102" t="n">
        <x:f>IF(M19="","",IF(MONTH($A19)=1,M19,M19-M18))</x:f>
        <x:v>3078</x:v>
      </x:c>
      <x:c r="I19" s="180" t="n">
        <x:f>IFERROR(INDEX(Sheet4!$E$5:$E$118,MATCH($A19,Sheet4!$A$5:$A$118,0)),"")</x:f>
        <x:v>13568</x:v>
      </x:c>
      <x:c r="J19" s="180" t="n">
        <x:f>IFERROR(INDEX(Sheet4!$F$5:$F$118,MATCH($A19,Sheet4!$A$5:$A$118,0)),"")</x:f>
        <x:v>3126</x:v>
      </x:c>
      <x:c r="K19" s="180" t="n">
        <x:f>IFERROR(INDEX(Sheet4!$G$5:$G$118,MATCH($A19,Sheet4!$A$5:$A$118,0)),"")</x:f>
        <x:v>4402</x:v>
      </x:c>
      <x:c r="L19" s="180" t="n">
        <x:f>IFERROR(INDEX(Sheet1!$K$5:$K$202,MATCH($A19,Sheet1!$A$5:$A$202,0)),"")</x:f>
        <x:v>21096</x:v>
      </x:c>
      <x:c r="M19" s="180" t="n">
        <x:f>IFERROR(INDEX(Sheet1!$L$5:$L$202,MATCH($A19,Sheet1!$A$5:$A$202,0)),"")</x:f>
        <x:v>3624</x:v>
      </x:c>
      <x:c r="N19" s="180" t="n">
        <x:f>IF(OR(F19="",G19=""),"",F19-G19)</x:f>
        <x:v>0</x:v>
      </x:c>
    </x:row>
    <x:row r="20">
      <x:c r="A20" s="107" t="n">
        <x:v>45046</x:v>
      </x:c>
      <x:c r="B20" s="102" t="n">
        <x:f>IF(I20="","",IF(MONTH($A20)=1,I20,I20-I19))</x:f>
        <x:v>2648</x:v>
      </x:c>
      <x:c r="C20" s="102" t="n">
        <x:f>IF(J20="","",IF(MONTH($A20)=1,J20,J20-J19))</x:f>
        <x:v>177</x:v>
      </x:c>
      <x:c r="D20" s="102" t="n">
        <x:f>IF(K20="","",IF(MONTH($A20)=1,K20,K20-K19))</x:f>
        <x:v>3904</x:v>
      </x:c>
      <x:c r="E20" s="102" t="n">
        <x:f>IF(OR(G20="",H20=""),"",G20-H20)</x:f>
        <x:v>2437</x:v>
      </x:c>
      <x:c r="F20" s="102" t="n">
        <x:f>IF(COUNT(B20:D20)=0,"",SUM(B20:D20))</x:f>
        <x:v>6729</x:v>
      </x:c>
      <x:c r="G20" s="102" t="n">
        <x:f>IF(L20="","",IF(MONTH($A20)=1,L20,L20-L19))</x:f>
        <x:v>6729</x:v>
      </x:c>
      <x:c r="H20" s="102" t="n">
        <x:f>IF(M20="","",IF(MONTH($A20)=1,M20,M20-M19))</x:f>
        <x:v>4292</x:v>
      </x:c>
      <x:c r="I20" s="180" t="n">
        <x:f>IFERROR(INDEX(Sheet4!$E$5:$E$118,MATCH($A20,Sheet4!$A$5:$A$118,0)),"")</x:f>
        <x:v>16216</x:v>
      </x:c>
      <x:c r="J20" s="180" t="n">
        <x:f>IFERROR(INDEX(Sheet4!$F$5:$F$118,MATCH($A20,Sheet4!$A$5:$A$118,0)),"")</x:f>
        <x:v>3303</x:v>
      </x:c>
      <x:c r="K20" s="180" t="n">
        <x:f>IFERROR(INDEX(Sheet4!$G$5:$G$118,MATCH($A20,Sheet4!$A$5:$A$118,0)),"")</x:f>
        <x:v>8306</x:v>
      </x:c>
      <x:c r="L20" s="180" t="n">
        <x:f>IFERROR(INDEX(Sheet1!$K$5:$K$202,MATCH($A20,Sheet1!$A$5:$A$202,0)),"")</x:f>
        <x:v>27825</x:v>
      </x:c>
      <x:c r="M20" s="180" t="n">
        <x:f>IFERROR(INDEX(Sheet1!$L$5:$L$202,MATCH($A20,Sheet1!$A$5:$A$202,0)),"")</x:f>
        <x:v>7916</x:v>
      </x:c>
      <x:c r="N20" s="180" t="n">
        <x:f>IF(OR(F20="",G20=""),"",F20-G20)</x:f>
        <x:v>0</x:v>
      </x:c>
    </x:row>
    <x:row r="21">
      <x:c r="A21" s="107" t="n">
        <x:v>45077</x:v>
      </x:c>
      <x:c r="B21" s="102" t="n">
        <x:f>IF(I21="","",IF(MONTH($A21)=1,I21,I21-I20))</x:f>
        <x:v>2754</x:v>
      </x:c>
      <x:c r="C21" s="102" t="n">
        <x:f>IF(J21="","",IF(MONTH($A21)=1,J21,J21-J20))</x:f>
        <x:v>265</x:v>
      </x:c>
      <x:c r="D21" s="102" t="n">
        <x:f>IF(K21="","",IF(MONTH($A21)=1,K21,K21-K20))</x:f>
        <x:v>4535</x:v>
      </x:c>
      <x:c r="E21" s="102" t="n">
        <x:f>IF(OR(G21="",H21=""),"",G21-H21)</x:f>
        <x:v>5052</x:v>
      </x:c>
      <x:c r="F21" s="102" t="n">
        <x:f>IF(COUNT(B21:D21)=0,"",SUM(B21:D21))</x:f>
        <x:v>7554</x:v>
      </x:c>
      <x:c r="G21" s="102" t="n">
        <x:f>IF(L21="","",IF(MONTH($A21)=1,L21,L21-L20))</x:f>
        <x:v>7554</x:v>
      </x:c>
      <x:c r="H21" s="102" t="n">
        <x:f>IF(M21="","",IF(MONTH($A21)=1,M21,M21-M20))</x:f>
        <x:v>2502</x:v>
      </x:c>
      <x:c r="I21" s="180" t="n">
        <x:f>IFERROR(INDEX(Sheet4!$E$5:$E$118,MATCH($A21,Sheet4!$A$5:$A$118,0)),"")</x:f>
        <x:v>18970</x:v>
      </x:c>
      <x:c r="J21" s="180" t="n">
        <x:f>IFERROR(INDEX(Sheet4!$F$5:$F$118,MATCH($A21,Sheet4!$A$5:$A$118,0)),"")</x:f>
        <x:v>3568</x:v>
      </x:c>
      <x:c r="K21" s="180" t="n">
        <x:f>IFERROR(INDEX(Sheet4!$G$5:$G$118,MATCH($A21,Sheet4!$A$5:$A$118,0)),"")</x:f>
        <x:v>12841</x:v>
      </x:c>
      <x:c r="L21" s="180" t="n">
        <x:f>IFERROR(INDEX(Sheet1!$K$5:$K$202,MATCH($A21,Sheet1!$A$5:$A$202,0)),"")</x:f>
        <x:v>35379</x:v>
      </x:c>
      <x:c r="M21" s="180" t="n">
        <x:f>IFERROR(INDEX(Sheet1!$L$5:$L$202,MATCH($A21,Sheet1!$A$5:$A$202,0)),"")</x:f>
        <x:v>10418</x:v>
      </x:c>
      <x:c r="N21" s="180" t="n">
        <x:f>IF(OR(F21="",G21=""),"",F21-G21)</x:f>
        <x:v>0</x:v>
      </x:c>
    </x:row>
    <x:row r="22">
      <x:c r="A22" s="107" t="n">
        <x:v>45107</x:v>
      </x:c>
      <x:c r="B22" s="102" t="n">
        <x:f>IF(I22="","",IF(MONTH($A22)=1,I22,I22-I21))</x:f>
        <x:v>4039</x:v>
      </x:c>
      <x:c r="C22" s="102" t="n">
        <x:f>IF(J22="","",IF(MONTH($A22)=1,J22,J22-J21))</x:f>
        <x:v>776</x:v>
      </x:c>
      <x:c r="D22" s="102" t="n">
        <x:f>IF(K22="","",IF(MONTH($A22)=1,K22,K22-K21))</x:f>
        <x:v>3487</x:v>
      </x:c>
      <x:c r="E22" s="102" t="n">
        <x:f>IF(OR(G22="",H22=""),"",G22-H22)</x:f>
        <x:v>2385</x:v>
      </x:c>
      <x:c r="F22" s="102" t="n">
        <x:f>IF(COUNT(B22:D22)=0,"",SUM(B22:D22))</x:f>
        <x:v>8302</x:v>
      </x:c>
      <x:c r="G22" s="102" t="n">
        <x:f>IF(L22="","",IF(MONTH($A22)=1,L22,L22-L21))</x:f>
        <x:v>8302</x:v>
      </x:c>
      <x:c r="H22" s="102" t="n">
        <x:f>IF(M22="","",IF(MONTH($A22)=1,M22,M22-M21))</x:f>
        <x:v>5917</x:v>
      </x:c>
      <x:c r="I22" s="180" t="n">
        <x:f>IFERROR(INDEX(Sheet4!$E$5:$E$118,MATCH($A22,Sheet4!$A$5:$A$118,0)),"")</x:f>
        <x:v>23009</x:v>
      </x:c>
      <x:c r="J22" s="180" t="n">
        <x:f>IFERROR(INDEX(Sheet4!$F$5:$F$118,MATCH($A22,Sheet4!$A$5:$A$118,0)),"")</x:f>
        <x:v>4344</x:v>
      </x:c>
      <x:c r="K22" s="180" t="n">
        <x:f>IFERROR(INDEX(Sheet4!$G$5:$G$118,MATCH($A22,Sheet4!$A$5:$A$118,0)),"")</x:f>
        <x:v>16328</x:v>
      </x:c>
      <x:c r="L22" s="180" t="n">
        <x:f>IFERROR(INDEX(Sheet1!$K$5:$K$202,MATCH($A22,Sheet1!$A$5:$A$202,0)),"")</x:f>
        <x:v>43681</x:v>
      </x:c>
      <x:c r="M22" s="180" t="n">
        <x:f>IFERROR(INDEX(Sheet1!$L$5:$L$202,MATCH($A22,Sheet1!$A$5:$A$202,0)),"")</x:f>
        <x:v>16335</x:v>
      </x:c>
      <x:c r="N22" s="180" t="n">
        <x:f>IF(OR(F22="",G22=""),"",F22-G22)</x:f>
        <x:v>0</x:v>
      </x:c>
    </x:row>
    <x:row r="23">
      <x:c r="A23" s="107" t="n">
        <x:v>45138</x:v>
      </x:c>
      <x:c r="B23" s="102" t="n">
        <x:f>IF(I23="","",IF(MONTH($A23)=1,I23,I23-I22))</x:f>
        <x:v>1962</x:v>
      </x:c>
      <x:c r="C23" s="102" t="n">
        <x:f>IF(J23="","",IF(MONTH($A23)=1,J23,J23-J22))</x:f>
        <x:v>391</x:v>
      </x:c>
      <x:c r="D23" s="102" t="n">
        <x:f>IF(K23="","",IF(MONTH($A23)=1,K23,K23-K22))</x:f>
        <x:v>3838</x:v>
      </x:c>
      <x:c r="E23" s="102" t="n">
        <x:f>IF(OR(G23="",H23=""),"",G23-H23)</x:f>
        <x:v>2235</x:v>
      </x:c>
      <x:c r="F23" s="102" t="n">
        <x:f>IF(COUNT(B23:D23)=0,"",SUM(B23:D23))</x:f>
        <x:v>6191</x:v>
      </x:c>
      <x:c r="G23" s="102" t="n">
        <x:f>IF(L23="","",IF(MONTH($A23)=1,L23,L23-L22))</x:f>
        <x:v>6191</x:v>
      </x:c>
      <x:c r="H23" s="102" t="n">
        <x:f>IF(M23="","",IF(MONTH($A23)=1,M23,M23-M22))</x:f>
        <x:v>3956</x:v>
      </x:c>
      <x:c r="I23" s="180" t="n">
        <x:f>IFERROR(INDEX(Sheet4!$E$5:$E$118,MATCH($A23,Sheet4!$A$5:$A$118,0)),"")</x:f>
        <x:v>24971</x:v>
      </x:c>
      <x:c r="J23" s="180" t="n">
        <x:f>IFERROR(INDEX(Sheet4!$F$5:$F$118,MATCH($A23,Sheet4!$A$5:$A$118,0)),"")</x:f>
        <x:v>4735</x:v>
      </x:c>
      <x:c r="K23" s="180" t="n">
        <x:f>IFERROR(INDEX(Sheet4!$G$5:$G$118,MATCH($A23,Sheet4!$A$5:$A$118,0)),"")</x:f>
        <x:v>20166</x:v>
      </x:c>
      <x:c r="L23" s="180" t="n">
        <x:f>IFERROR(INDEX(Sheet1!$K$5:$K$202,MATCH($A23,Sheet1!$A$5:$A$202,0)),"")</x:f>
        <x:v>49872</x:v>
      </x:c>
      <x:c r="M23" s="180" t="n">
        <x:f>IFERROR(INDEX(Sheet1!$L$5:$L$202,MATCH($A23,Sheet1!$A$5:$A$202,0)),"")</x:f>
        <x:v>20291</x:v>
      </x:c>
      <x:c r="N23" s="180" t="n">
        <x:f>IF(OR(F23="",G23=""),"",F23-G23)</x:f>
        <x:v>0</x:v>
      </x:c>
    </x:row>
    <x:row r="24">
      <x:c r="A24" s="107" t="n">
        <x:v>45169</x:v>
      </x:c>
      <x:c r="B24" s="102" t="n">
        <x:f>IF(I24="","",IF(MONTH($A24)=1,I24,I24-I23))</x:f>
        <x:v>6007</x:v>
      </x:c>
      <x:c r="C24" s="102" t="n">
        <x:f>IF(J24="","",IF(MONTH($A24)=1,J24,J24-J23))</x:f>
        <x:v>1136</x:v>
      </x:c>
      <x:c r="D24" s="102" t="n">
        <x:f>IF(K24="","",IF(MONTH($A24)=1,K24,K24-K23))</x:f>
        <x:v>6017</x:v>
      </x:c>
      <x:c r="E24" s="102" t="n">
        <x:f>IF(OR(G24="",H24=""),"",G24-H24)</x:f>
        <x:v>7246</x:v>
      </x:c>
      <x:c r="F24" s="102" t="n">
        <x:f>IF(COUNT(B24:D24)=0,"",SUM(B24:D24))</x:f>
        <x:v>13160</x:v>
      </x:c>
      <x:c r="G24" s="102" t="n">
        <x:f>IF(L24="","",IF(MONTH($A24)=1,L24,L24-L23))</x:f>
        <x:v>13160</x:v>
      </x:c>
      <x:c r="H24" s="102" t="n">
        <x:f>IF(M24="","",IF(MONTH($A24)=1,M24,M24-M23))</x:f>
        <x:v>5914</x:v>
      </x:c>
      <x:c r="I24" s="180" t="n">
        <x:f>IFERROR(INDEX(Sheet4!$E$5:$E$118,MATCH($A24,Sheet4!$A$5:$A$118,0)),"")</x:f>
        <x:v>30978</x:v>
      </x:c>
      <x:c r="J24" s="180" t="n">
        <x:f>IFERROR(INDEX(Sheet4!$F$5:$F$118,MATCH($A24,Sheet4!$A$5:$A$118,0)),"")</x:f>
        <x:v>5871</x:v>
      </x:c>
      <x:c r="K24" s="180" t="n">
        <x:f>IFERROR(INDEX(Sheet4!$G$5:$G$118,MATCH($A24,Sheet4!$A$5:$A$118,0)),"")</x:f>
        <x:v>26183</x:v>
      </x:c>
      <x:c r="L24" s="180" t="n">
        <x:f>IFERROR(INDEX(Sheet1!$K$5:$K$202,MATCH($A24,Sheet1!$A$5:$A$202,0)),"")</x:f>
        <x:v>63032</x:v>
      </x:c>
      <x:c r="M24" s="180" t="n">
        <x:f>IFERROR(INDEX(Sheet1!$L$5:$L$202,MATCH($A24,Sheet1!$A$5:$A$202,0)),"")</x:f>
        <x:v>26205</x:v>
      </x:c>
      <x:c r="N24" s="180" t="n">
        <x:f>IF(OR(F24="",G24=""),"",F24-G24)</x:f>
        <x:v>0</x:v>
      </x:c>
    </x:row>
    <x:row r="25">
      <x:c r="A25" s="107" t="n">
        <x:v>45199</x:v>
      </x:c>
      <x:c r="B25" s="102" t="n">
        <x:f>IF(I25="","",IF(MONTH($A25)=1,I25,I25-I24))</x:f>
        <x:v>3620</x:v>
      </x:c>
      <x:c r="C25" s="102" t="n">
        <x:f>IF(J25="","",IF(MONTH($A25)=1,J25,J25-J24))</x:f>
        <x:v>620</x:v>
      </x:c>
      <x:c r="D25" s="102" t="n">
        <x:f>IF(K25="","",IF(MONTH($A25)=1,K25,K25-K24))</x:f>
        <x:v>3511</x:v>
      </x:c>
      <x:c r="E25" s="102" t="n">
        <x:f>IF(OR(G25="",H25=""),"",G25-H25)</x:f>
        <x:v>1517</x:v>
      </x:c>
      <x:c r="F25" s="102" t="n">
        <x:f>IF(COUNT(B25:D25)=0,"",SUM(B25:D25))</x:f>
        <x:v>7751</x:v>
      </x:c>
      <x:c r="G25" s="102" t="n">
        <x:f>IF(L25="","",IF(MONTH($A25)=1,L25,L25-L24))</x:f>
        <x:v>7751</x:v>
      </x:c>
      <x:c r="H25" s="102" t="n">
        <x:f>IF(M25="","",IF(MONTH($A25)=1,M25,M25-M24))</x:f>
        <x:v>6234</x:v>
      </x:c>
      <x:c r="I25" s="180" t="n">
        <x:f>IFERROR(INDEX(Sheet4!$E$5:$E$118,MATCH($A25,Sheet4!$A$5:$A$118,0)),"")</x:f>
        <x:v>34598</x:v>
      </x:c>
      <x:c r="J25" s="180" t="n">
        <x:f>IFERROR(INDEX(Sheet4!$F$5:$F$118,MATCH($A25,Sheet4!$A$5:$A$118,0)),"")</x:f>
        <x:v>6491</x:v>
      </x:c>
      <x:c r="K25" s="180" t="n">
        <x:f>IFERROR(INDEX(Sheet4!$G$5:$G$118,MATCH($A25,Sheet4!$A$5:$A$118,0)),"")</x:f>
        <x:v>29694</x:v>
      </x:c>
      <x:c r="L25" s="180" t="n">
        <x:f>IFERROR(INDEX(Sheet1!$K$5:$K$202,MATCH($A25,Sheet1!$A$5:$A$202,0)),"")</x:f>
        <x:v>70783</x:v>
      </x:c>
      <x:c r="M25" s="180" t="n">
        <x:f>IFERROR(INDEX(Sheet1!$L$5:$L$202,MATCH($A25,Sheet1!$A$5:$A$202,0)),"")</x:f>
        <x:v>32439</x:v>
      </x:c>
      <x:c r="N25" s="180" t="n">
        <x:f>IF(OR(F25="",G25=""),"",F25-G25)</x:f>
        <x:v>0</x:v>
      </x:c>
    </x:row>
    <x:row r="26">
      <x:c r="A26" s="107" t="n">
        <x:v>45230</x:v>
      </x:c>
      <x:c r="B26" s="102" t="n">
        <x:f>IF(I26="","",IF(MONTH($A26)=1,I26,I26-I25))</x:f>
        <x:v>2184</x:v>
      </x:c>
      <x:c r="C26" s="102" t="n">
        <x:f>IF(J26="","",IF(MONTH($A26)=1,J26,J26-J25))</x:f>
        <x:v>83</x:v>
      </x:c>
      <x:c r="D26" s="102" t="n">
        <x:f>IF(K26="","",IF(MONTH($A26)=1,K26,K26-K25))</x:f>
        <x:v>11696</x:v>
      </x:c>
      <x:c r="E26" s="102" t="n">
        <x:f>IF(OR(G26="",H26=""),"",G26-H26)</x:f>
        <x:v>12015</x:v>
      </x:c>
      <x:c r="F26" s="102" t="n">
        <x:f>IF(COUNT(B26:D26)=0,"",SUM(B26:D26))</x:f>
        <x:v>13963</x:v>
      </x:c>
      <x:c r="G26" s="102" t="n">
        <x:f>IF(L26="","",IF(MONTH($A26)=1,L26,L26-L25))</x:f>
        <x:v>13963</x:v>
      </x:c>
      <x:c r="H26" s="102" t="n">
        <x:f>IF(M26="","",IF(MONTH($A26)=1,M26,M26-M25))</x:f>
        <x:v>1948</x:v>
      </x:c>
      <x:c r="I26" s="180" t="n">
        <x:f>IFERROR(INDEX(Sheet4!$E$5:$E$118,MATCH($A26,Sheet4!$A$5:$A$118,0)),"")</x:f>
        <x:v>36782</x:v>
      </x:c>
      <x:c r="J26" s="180" t="n">
        <x:f>IFERROR(INDEX(Sheet4!$F$5:$F$118,MATCH($A26,Sheet4!$A$5:$A$118,0)),"")</x:f>
        <x:v>6574</x:v>
      </x:c>
      <x:c r="K26" s="180" t="n">
        <x:f>IFERROR(INDEX(Sheet4!$G$5:$G$118,MATCH($A26,Sheet4!$A$5:$A$118,0)),"")</x:f>
        <x:v>41390</x:v>
      </x:c>
      <x:c r="L26" s="180" t="n">
        <x:f>IFERROR(INDEX(Sheet1!$K$5:$K$202,MATCH($A26,Sheet1!$A$5:$A$202,0)),"")</x:f>
        <x:v>84746</x:v>
      </x:c>
      <x:c r="M26" s="180" t="n">
        <x:f>IFERROR(INDEX(Sheet1!$L$5:$L$202,MATCH($A26,Sheet1!$A$5:$A$202,0)),"")</x:f>
        <x:v>34387</x:v>
      </x:c>
      <x:c r="N26" s="180" t="n">
        <x:f>IF(OR(F26="",G26=""),"",F26-G26)</x:f>
        <x:v>0</x:v>
      </x:c>
    </x:row>
    <x:row r="27">
      <x:c r="A27" s="107" t="n">
        <x:v>45260</x:v>
      </x:c>
      <x:c r="B27" s="102" t="n">
        <x:f>IF(I27="","",IF(MONTH($A27)=1,I27,I27-I26))</x:f>
        <x:v>1852</x:v>
      </x:c>
      <x:c r="C27" s="102" t="n">
        <x:f>IF(J27="","",IF(MONTH($A27)=1,J27,J27-J26))</x:f>
        <x:v>257</x:v>
      </x:c>
      <x:c r="D27" s="102" t="n">
        <x:f>IF(K27="","",IF(MONTH($A27)=1,K27,K27-K26))</x:f>
        <x:v>4563</x:v>
      </x:c>
      <x:c r="E27" s="102" t="n">
        <x:f>IF(OR(G27="",H27=""),"",G27-H27)</x:f>
        <x:v>5374</x:v>
      </x:c>
      <x:c r="F27" s="102" t="n">
        <x:f>IF(COUNT(B27:D27)=0,"",SUM(B27:D27))</x:f>
        <x:v>6672</x:v>
      </x:c>
      <x:c r="G27" s="102" t="n">
        <x:f>IF(L27="","",IF(MONTH($A27)=1,L27,L27-L26))</x:f>
        <x:v>6672</x:v>
      </x:c>
      <x:c r="H27" s="102" t="n">
        <x:f>IF(M27="","",IF(MONTH($A27)=1,M27,M27-M26))</x:f>
        <x:v>1298</x:v>
      </x:c>
      <x:c r="I27" s="180" t="n">
        <x:f>IFERROR(INDEX(Sheet4!$E$5:$E$118,MATCH($A27,Sheet4!$A$5:$A$118,0)),"")</x:f>
        <x:v>38634</x:v>
      </x:c>
      <x:c r="J27" s="180" t="n">
        <x:f>IFERROR(INDEX(Sheet4!$F$5:$F$118,MATCH($A27,Sheet4!$A$5:$A$118,0)),"")</x:f>
        <x:v>6831</x:v>
      </x:c>
      <x:c r="K27" s="180" t="n">
        <x:f>IFERROR(INDEX(Sheet4!$G$5:$G$118,MATCH($A27,Sheet4!$A$5:$A$118,0)),"")</x:f>
        <x:v>45953</x:v>
      </x:c>
      <x:c r="L27" s="180" t="n">
        <x:f>IFERROR(INDEX(Sheet1!$K$5:$K$202,MATCH($A27,Sheet1!$A$5:$A$202,0)),"")</x:f>
        <x:v>91418</x:v>
      </x:c>
      <x:c r="M27" s="180" t="n">
        <x:f>IFERROR(INDEX(Sheet1!$L$5:$L$202,MATCH($A27,Sheet1!$A$5:$A$202,0)),"")</x:f>
        <x:v>35685</x:v>
      </x:c>
      <x:c r="N27" s="180" t="n">
        <x:f>IF(OR(F27="",G27=""),"",F27-G27)</x:f>
        <x:v>0</x:v>
      </x:c>
    </x:row>
    <x:row r="28">
      <x:c r="A28" s="107" t="n">
        <x:v>45291</x:v>
      </x:c>
      <x:c r="B28" s="102" t="n">
        <x:f>IF(I28="","",IF(MONTH($A28)=1,I28,I28-I27))</x:f>
        <x:v>921</x:v>
      </x:c>
      <x:c r="C28" s="102" t="n">
        <x:f>IF(J28="","",IF(MONTH($A28)=1,J28,J28-J27))</x:f>
        <x:v>185</x:v>
      </x:c>
      <x:c r="D28" s="102" t="n">
        <x:f>IF(K28="","",IF(MONTH($A28)=1,K28,K28-K27))</x:f>
        <x:v>850</x:v>
      </x:c>
      <x:c r="E28" s="102" t="n">
        <x:f>IF(OR(G28="",H28=""),"",G28-H28)</x:f>
        <x:v>983</x:v>
      </x:c>
      <x:c r="F28" s="102" t="n">
        <x:f>IF(COUNT(B28:D28)=0,"",SUM(B28:D28))</x:f>
        <x:v>1956</x:v>
      </x:c>
      <x:c r="G28" s="102" t="n">
        <x:f>IF(L28="","",IF(MONTH($A28)=1,L28,L28-L27))</x:f>
        <x:v>1956</x:v>
      </x:c>
      <x:c r="H28" s="102" t="n">
        <x:f>IF(M28="","",IF(MONTH($A28)=1,M28,M28-M27))</x:f>
        <x:v>973</x:v>
      </x:c>
      <x:c r="I28" s="180" t="n">
        <x:f>IFERROR(INDEX(Sheet4!$E$5:$E$118,MATCH($A28,Sheet4!$A$5:$A$118,0)),"")</x:f>
        <x:v>39555</x:v>
      </x:c>
      <x:c r="J28" s="180" t="n">
        <x:f>IFERROR(INDEX(Sheet4!$F$5:$F$118,MATCH($A28,Sheet4!$A$5:$A$118,0)),"")</x:f>
        <x:v>7016</x:v>
      </x:c>
      <x:c r="K28" s="180" t="n">
        <x:f>IFERROR(INDEX(Sheet4!$G$5:$G$118,MATCH($A28,Sheet4!$A$5:$A$118,0)),"")</x:f>
        <x:v>46803</x:v>
      </x:c>
      <x:c r="L28" s="180" t="n">
        <x:f>IFERROR(INDEX(Sheet1!$K$5:$K$202,MATCH($A28,Sheet1!$A$5:$A$202,0)),"")</x:f>
        <x:v>93374</x:v>
      </x:c>
      <x:c r="M28" s="180" t="n">
        <x:f>IFERROR(INDEX(Sheet1!$L$5:$L$202,MATCH($A28,Sheet1!$A$5:$A$202,0)),"")</x:f>
        <x:v>36658</x:v>
      </x:c>
      <x:c r="N28" s="180" t="n">
        <x:f>IF(OR(F28="",G28=""),"",F28-G28)</x:f>
        <x:v>0</x:v>
      </x:c>
    </x:row>
    <x:row r="29">
      <x:c r="A29" s="107" t="n">
        <x:v>45322</x:v>
      </x:c>
      <x:c r="B29" s="102" t="n">
        <x:f>IF(I29="","",IF(MONTH($A29)=1,I29,I29-I28))</x:f>
        <x:v>568</x:v>
      </x:c>
      <x:c r="C29" s="102" t="n">
        <x:f>IF(J29="","",IF(MONTH($A29)=1,J29,J29-J28))</x:f>
        <x:v>1186</x:v>
      </x:c>
      <x:c r="D29" s="102" t="n">
        <x:f>IF(K29="","",IF(MONTH($A29)=1,K29,K29-K28))</x:f>
        <x:v>2091</x:v>
      </x:c>
      <x:c r="E29" s="102" t="n">
        <x:f>IF(OR(G29="",H29=""),"",G29-H29)</x:f>
        <x:v>2587</x:v>
      </x:c>
      <x:c r="F29" s="102" t="n">
        <x:f>IF(COUNT(B29:D29)=0,"",SUM(B29:D29))</x:f>
        <x:v>3845</x:v>
      </x:c>
      <x:c r="G29" s="102" t="n">
        <x:f>IF(L29="","",IF(MONTH($A29)=1,L29,L29-L28))</x:f>
        <x:v>3845</x:v>
      </x:c>
      <x:c r="H29" s="102" t="n">
        <x:f>IF(M29="","",IF(MONTH($A29)=1,M29,M29-M28))</x:f>
        <x:v>1258</x:v>
      </x:c>
      <x:c r="I29" s="180" t="n">
        <x:f>IFERROR(INDEX(Sheet4!$E$5:$E$118,MATCH($A29,Sheet4!$A$5:$A$118,0)),"")</x:f>
        <x:v>568</x:v>
      </x:c>
      <x:c r="J29" s="180" t="n">
        <x:f>IFERROR(INDEX(Sheet4!$F$5:$F$118,MATCH($A29,Sheet4!$A$5:$A$118,0)),"")</x:f>
        <x:v>1186</x:v>
      </x:c>
      <x:c r="K29" s="180" t="n">
        <x:f>IFERROR(INDEX(Sheet4!$G$5:$G$118,MATCH($A29,Sheet4!$A$5:$A$118,0)),"")</x:f>
        <x:v>2091</x:v>
      </x:c>
      <x:c r="L29" s="180" t="n">
        <x:f>IFERROR(INDEX(Sheet1!$K$5:$K$202,MATCH($A29,Sheet1!$A$5:$A$202,0)),"")</x:f>
        <x:v>3845</x:v>
      </x:c>
      <x:c r="M29" s="180" t="n">
        <x:f>IFERROR(INDEX(Sheet1!$L$5:$L$202,MATCH($A29,Sheet1!$A$5:$A$202,0)),"")</x:f>
        <x:v>1258</x:v>
      </x:c>
      <x:c r="N29" s="180" t="n">
        <x:f>IF(OR(F29="",G29=""),"",F29-G29)</x:f>
        <x:v>0</x:v>
      </x:c>
    </x:row>
    <x:row r="30">
      <x:c r="A30" s="107" t="n">
        <x:v>45351</x:v>
      </x:c>
      <x:c r="B30" s="102" t="n">
        <x:f>IF(I30="","",IF(MONTH($A30)=1,I30,I30-I29))</x:f>
        <x:v>3466</x:v>
      </x:c>
      <x:c r="C30" s="102" t="n">
        <x:f>IF(J30="","",IF(MONTH($A30)=1,J30,J30-J29))</x:f>
        <x:v>539</x:v>
      </x:c>
      <x:c r="D30" s="102" t="n">
        <x:f>IF(K30="","",IF(MONTH($A30)=1,K30,K30-K29))</x:f>
        <x:v>1594</x:v>
      </x:c>
      <x:c r="E30" s="102" t="n">
        <x:f>IF(OR(G30="",H30=""),"",G30-H30)</x:f>
        <x:v>4132</x:v>
      </x:c>
      <x:c r="F30" s="102" t="n">
        <x:f>IF(COUNT(B30:D30)=0,"",SUM(B30:D30))</x:f>
        <x:v>5599</x:v>
      </x:c>
      <x:c r="G30" s="102" t="n">
        <x:f>IF(L30="","",IF(MONTH($A30)=1,L30,L30-L29))</x:f>
        <x:v>5599</x:v>
      </x:c>
      <x:c r="H30" s="102" t="n">
        <x:f>IF(M30="","",IF(MONTH($A30)=1,M30,M30-M29))</x:f>
        <x:v>1467</x:v>
      </x:c>
      <x:c r="I30" s="180" t="n">
        <x:f>IFERROR(INDEX(Sheet4!$E$5:$E$118,MATCH($A30,Sheet4!$A$5:$A$118,0)),"")</x:f>
        <x:v>4034</x:v>
      </x:c>
      <x:c r="J30" s="180" t="n">
        <x:f>IFERROR(INDEX(Sheet4!$F$5:$F$118,MATCH($A30,Sheet4!$A$5:$A$118,0)),"")</x:f>
        <x:v>1725</x:v>
      </x:c>
      <x:c r="K30" s="180" t="n">
        <x:f>IFERROR(INDEX(Sheet4!$G$5:$G$118,MATCH($A30,Sheet4!$A$5:$A$118,0)),"")</x:f>
        <x:v>3685</x:v>
      </x:c>
      <x:c r="L30" s="180" t="n">
        <x:f>IFERROR(INDEX(Sheet1!$K$5:$K$202,MATCH($A30,Sheet1!$A$5:$A$202,0)),"")</x:f>
        <x:v>9444</x:v>
      </x:c>
      <x:c r="M30" s="180" t="n">
        <x:f>IFERROR(INDEX(Sheet1!$L$5:$L$202,MATCH($A30,Sheet1!$A$5:$A$202,0)),"")</x:f>
        <x:v>2725</x:v>
      </x:c>
      <x:c r="N30" s="180" t="n">
        <x:f>IF(OR(F30="",G30=""),"",F30-G30)</x:f>
        <x:v>0</x:v>
      </x:c>
    </x:row>
    <x:row r="31">
      <x:c r="A31" s="107" t="n">
        <x:v>45382</x:v>
      </x:c>
      <x:c r="B31" s="102" t="n">
        <x:f>IF(I31="","",IF(MONTH($A31)=1,I31,I31-I30))</x:f>
        <x:v>2307</x:v>
      </x:c>
      <x:c r="C31" s="102" t="n">
        <x:f>IF(J31="","",IF(MONTH($A31)=1,J31,J31-J30))</x:f>
        <x:v>357</x:v>
      </x:c>
      <x:c r="D31" s="102" t="n">
        <x:f>IF(K31="","",IF(MONTH($A31)=1,K31,K31-K30))</x:f>
        <x:v>3631</x:v>
      </x:c>
      <x:c r="E31" s="102" t="n">
        <x:f>IF(OR(G31="",H31=""),"",G31-H31)</x:f>
        <x:v>2848</x:v>
      </x:c>
      <x:c r="F31" s="102" t="n">
        <x:f>IF(COUNT(B31:D31)=0,"",SUM(B31:D31))</x:f>
        <x:v>6295</x:v>
      </x:c>
      <x:c r="G31" s="102" t="n">
        <x:f>IF(L31="","",IF(MONTH($A31)=1,L31,L31-L30))</x:f>
        <x:v>6295</x:v>
      </x:c>
      <x:c r="H31" s="102" t="n">
        <x:f>IF(M31="","",IF(MONTH($A31)=1,M31,M31-M30))</x:f>
        <x:v>3447</x:v>
      </x:c>
      <x:c r="I31" s="180" t="n">
        <x:f>IFERROR(INDEX(Sheet4!$E$5:$E$118,MATCH($A31,Sheet4!$A$5:$A$118,0)),"")</x:f>
        <x:v>6341</x:v>
      </x:c>
      <x:c r="J31" s="180" t="n">
        <x:f>IFERROR(INDEX(Sheet4!$F$5:$F$118,MATCH($A31,Sheet4!$A$5:$A$118,0)),"")</x:f>
        <x:v>2082</x:v>
      </x:c>
      <x:c r="K31" s="180" t="n">
        <x:f>IFERROR(INDEX(Sheet4!$G$5:$G$118,MATCH($A31,Sheet4!$A$5:$A$118,0)),"")</x:f>
        <x:v>7316</x:v>
      </x:c>
      <x:c r="L31" s="180" t="n">
        <x:f>IFERROR(INDEX(Sheet1!$K$5:$K$202,MATCH($A31,Sheet1!$A$5:$A$202,0)),"")</x:f>
        <x:v>15739</x:v>
      </x:c>
      <x:c r="M31" s="180" t="n">
        <x:f>IFERROR(INDEX(Sheet1!$L$5:$L$202,MATCH($A31,Sheet1!$A$5:$A$202,0)),"")</x:f>
        <x:v>6172</x:v>
      </x:c>
      <x:c r="N31" s="180" t="n">
        <x:f>IF(OR(F31="",G31=""),"",F31-G31)</x:f>
        <x:v>0</x:v>
      </x:c>
    </x:row>
    <x:row r="32">
      <x:c r="A32" s="107" t="n">
        <x:v>45412</x:v>
      </x:c>
      <x:c r="B32" s="102" t="n">
        <x:f>IF(I32="","",IF(MONTH($A32)=1,I32,I32-I31))</x:f>
        <x:v>883</x:v>
      </x:c>
      <x:c r="C32" s="102" t="n">
        <x:f>IF(J32="","",IF(MONTH($A32)=1,J32,J32-J31))</x:f>
        <x:v>402</x:v>
      </x:c>
      <x:c r="D32" s="102" t="n">
        <x:f>IF(K32="","",IF(MONTH($A32)=1,K32,K32-K31))</x:f>
        <x:v>2154</x:v>
      </x:c>
      <x:c r="E32" s="102" t="n">
        <x:f>IF(OR(G32="",H32=""),"",G32-H32)</x:f>
        <x:v>549</x:v>
      </x:c>
      <x:c r="F32" s="102" t="n">
        <x:f>IF(COUNT(B32:D32)=0,"",SUM(B32:D32))</x:f>
        <x:v>3439</x:v>
      </x:c>
      <x:c r="G32" s="102" t="n">
        <x:f>IF(L32="","",IF(MONTH($A32)=1,L32,L32-L31))</x:f>
        <x:v>3439</x:v>
      </x:c>
      <x:c r="H32" s="102" t="n">
        <x:f>IF(M32="","",IF(MONTH($A32)=1,M32,M32-M31))</x:f>
        <x:v>2890</x:v>
      </x:c>
      <x:c r="I32" s="180" t="n">
        <x:f>IFERROR(INDEX(Sheet4!$E$5:$E$118,MATCH($A32,Sheet4!$A$5:$A$118,0)),"")</x:f>
        <x:v>7224</x:v>
      </x:c>
      <x:c r="J32" s="180" t="n">
        <x:f>IFERROR(INDEX(Sheet4!$F$5:$F$118,MATCH($A32,Sheet4!$A$5:$A$118,0)),"")</x:f>
        <x:v>2484</x:v>
      </x:c>
      <x:c r="K32" s="180" t="n">
        <x:f>IFERROR(INDEX(Sheet4!$G$5:$G$118,MATCH($A32,Sheet4!$A$5:$A$118,0)),"")</x:f>
        <x:v>9470</x:v>
      </x:c>
      <x:c r="L32" s="180" t="n">
        <x:f>IFERROR(INDEX(Sheet1!$K$5:$K$202,MATCH($A32,Sheet1!$A$5:$A$202,0)),"")</x:f>
        <x:v>19178</x:v>
      </x:c>
      <x:c r="M32" s="180" t="n">
        <x:f>IFERROR(INDEX(Sheet1!$L$5:$L$202,MATCH($A32,Sheet1!$A$5:$A$202,0)),"")</x:f>
        <x:v>9062</x:v>
      </x:c>
      <x:c r="N32" s="180" t="n">
        <x:f>IF(OR(F32="",G32=""),"",F32-G32)</x:f>
        <x:v>0</x:v>
      </x:c>
    </x:row>
    <x:row r="33">
      <x:c r="A33" s="107" t="n">
        <x:v>45443</x:v>
      </x:c>
      <x:c r="B33" s="102" t="n">
        <x:f>IF(I33="","",IF(MONTH($A33)=1,I33,I33-I32))</x:f>
        <x:v>4384</x:v>
      </x:c>
      <x:c r="C33" s="102" t="n">
        <x:f>IF(J33="","",IF(MONTH($A33)=1,J33,J33-J32))</x:f>
        <x:v>435</x:v>
      </x:c>
      <x:c r="D33" s="102" t="n">
        <x:f>IF(K33="","",IF(MONTH($A33)=1,K33,K33-K32))</x:f>
        <x:v>4216</x:v>
      </x:c>
      <x:c r="E33" s="102" t="n">
        <x:f>IF(OR(G33="",H33=""),"",G33-H33)</x:f>
        <x:v>6349</x:v>
      </x:c>
      <x:c r="F33" s="102" t="n">
        <x:f>IF(COUNT(B33:D33)=0,"",SUM(B33:D33))</x:f>
        <x:v>9035</x:v>
      </x:c>
      <x:c r="G33" s="102" t="n">
        <x:f>IF(L33="","",IF(MONTH($A33)=1,L33,L33-L32))</x:f>
        <x:v>9035</x:v>
      </x:c>
      <x:c r="H33" s="102" t="n">
        <x:f>IF(M33="","",IF(MONTH($A33)=1,M33,M33-M32))</x:f>
        <x:v>2686</x:v>
      </x:c>
      <x:c r="I33" s="180" t="n">
        <x:f>IFERROR(INDEX(Sheet4!$E$5:$E$118,MATCH($A33,Sheet4!$A$5:$A$118,0)),"")</x:f>
        <x:v>11608</x:v>
      </x:c>
      <x:c r="J33" s="180" t="n">
        <x:f>IFERROR(INDEX(Sheet4!$F$5:$F$118,MATCH($A33,Sheet4!$A$5:$A$118,0)),"")</x:f>
        <x:v>2919</x:v>
      </x:c>
      <x:c r="K33" s="180" t="n">
        <x:f>IFERROR(INDEX(Sheet4!$G$5:$G$118,MATCH($A33,Sheet4!$A$5:$A$118,0)),"")</x:f>
        <x:v>13686</x:v>
      </x:c>
      <x:c r="L33" s="180" t="n">
        <x:f>IFERROR(INDEX(Sheet1!$K$5:$K$202,MATCH($A33,Sheet1!$A$5:$A$202,0)),"")</x:f>
        <x:v>28213</x:v>
      </x:c>
      <x:c r="M33" s="180" t="n">
        <x:f>IFERROR(INDEX(Sheet1!$L$5:$L$202,MATCH($A33,Sheet1!$A$5:$A$202,0)),"")</x:f>
        <x:v>11748</x:v>
      </x:c>
      <x:c r="N33" s="180" t="n">
        <x:f>IF(OR(F33="",G33=""),"",F33-G33)</x:f>
        <x:v>0</x:v>
      </x:c>
    </x:row>
    <x:row r="34">
      <x:c r="A34" s="107" t="n">
        <x:v>45473</x:v>
      </x:c>
      <x:c r="B34" s="102" t="n">
        <x:f>IF(I34="","",IF(MONTH($A34)=1,I34,I34-I33))</x:f>
        <x:v>3327</x:v>
      </x:c>
      <x:c r="C34" s="102" t="n">
        <x:f>IF(J34="","",IF(MONTH($A34)=1,J34,J34-J33))</x:f>
        <x:v>405</x:v>
      </x:c>
      <x:c r="D34" s="102" t="n">
        <x:f>IF(K34="","",IF(MONTH($A34)=1,K34,K34-K33))</x:f>
        <x:v>2983</x:v>
      </x:c>
      <x:c r="E34" s="102" t="n">
        <x:f>IF(OR(G34="",H34=""),"",G34-H34)</x:f>
        <x:v>2260</x:v>
      </x:c>
      <x:c r="F34" s="102" t="n">
        <x:f>IF(COUNT(B34:D34)=0,"",SUM(B34:D34))</x:f>
        <x:v>6715</x:v>
      </x:c>
      <x:c r="G34" s="102" t="n">
        <x:f>IF(L34="","",IF(MONTH($A34)=1,L34,L34-L33))</x:f>
        <x:v>6715</x:v>
      </x:c>
      <x:c r="H34" s="102" t="n">
        <x:f>IF(M34="","",IF(MONTH($A34)=1,M34,M34-M33))</x:f>
        <x:v>4455</x:v>
      </x:c>
      <x:c r="I34" s="180" t="n">
        <x:f>IFERROR(INDEX(Sheet4!$E$5:$E$118,MATCH($A34,Sheet4!$A$5:$A$118,0)),"")</x:f>
        <x:v>14935</x:v>
      </x:c>
      <x:c r="J34" s="180" t="n">
        <x:f>IFERROR(INDEX(Sheet4!$F$5:$F$118,MATCH($A34,Sheet4!$A$5:$A$118,0)),"")</x:f>
        <x:v>3324</x:v>
      </x:c>
      <x:c r="K34" s="180" t="n">
        <x:f>IFERROR(INDEX(Sheet4!$G$5:$G$118,MATCH($A34,Sheet4!$A$5:$A$118,0)),"")</x:f>
        <x:v>16669</x:v>
      </x:c>
      <x:c r="L34" s="180" t="n">
        <x:f>IFERROR(INDEX(Sheet1!$K$5:$K$202,MATCH($A34,Sheet1!$A$5:$A$202,0)),"")</x:f>
        <x:v>34928</x:v>
      </x:c>
      <x:c r="M34" s="180" t="n">
        <x:f>IFERROR(INDEX(Sheet1!$L$5:$L$202,MATCH($A34,Sheet1!$A$5:$A$202,0)),"")</x:f>
        <x:v>16203</x:v>
      </x:c>
      <x:c r="N34" s="180" t="n">
        <x:f>IF(OR(F34="",G34=""),"",F34-G34)</x:f>
        <x:v>0</x:v>
      </x:c>
    </x:row>
    <x:row r="35">
      <x:c r="A35" s="107" t="n">
        <x:v>45504</x:v>
      </x:c>
      <x:c r="B35" s="102" t="n">
        <x:f>IF(I35="","",IF(MONTH($A35)=1,I35,I35-I34))</x:f>
        <x:v>2814</x:v>
      </x:c>
      <x:c r="C35" s="102" t="n">
        <x:f>IF(J35="","",IF(MONTH($A35)=1,J35,J35-J34))</x:f>
        <x:v>386</x:v>
      </x:c>
      <x:c r="D35" s="102" t="n">
        <x:f>IF(K35="","",IF(MONTH($A35)=1,K35,K35-K34))</x:f>
        <x:v>3908</x:v>
      </x:c>
      <x:c r="E35" s="102" t="n">
        <x:f>IF(OR(G35="",H35=""),"",G35-H35)</x:f>
        <x:v>1911</x:v>
      </x:c>
      <x:c r="F35" s="102" t="n">
        <x:f>IF(COUNT(B35:D35)=0,"",SUM(B35:D35))</x:f>
        <x:v>7108</x:v>
      </x:c>
      <x:c r="G35" s="102" t="n">
        <x:f>IF(L35="","",IF(MONTH($A35)=1,L35,L35-L34))</x:f>
        <x:v>7108</x:v>
      </x:c>
      <x:c r="H35" s="102" t="n">
        <x:f>IF(M35="","",IF(MONTH($A35)=1,M35,M35-M34))</x:f>
        <x:v>5197</x:v>
      </x:c>
      <x:c r="I35" s="180" t="n">
        <x:f>IFERROR(INDEX(Sheet4!$E$5:$E$118,MATCH($A35,Sheet4!$A$5:$A$118,0)),"")</x:f>
        <x:v>17749</x:v>
      </x:c>
      <x:c r="J35" s="180" t="n">
        <x:f>IFERROR(INDEX(Sheet4!$F$5:$F$118,MATCH($A35,Sheet4!$A$5:$A$118,0)),"")</x:f>
        <x:v>3710</x:v>
      </x:c>
      <x:c r="K35" s="180" t="n">
        <x:f>IFERROR(INDEX(Sheet4!$G$5:$G$118,MATCH($A35,Sheet4!$A$5:$A$118,0)),"")</x:f>
        <x:v>20577</x:v>
      </x:c>
      <x:c r="L35" s="180" t="n">
        <x:f>IFERROR(INDEX(Sheet1!$K$5:$K$202,MATCH($A35,Sheet1!$A$5:$A$202,0)),"")</x:f>
        <x:v>42036</x:v>
      </x:c>
      <x:c r="M35" s="180" t="n">
        <x:f>IFERROR(INDEX(Sheet1!$L$5:$L$202,MATCH($A35,Sheet1!$A$5:$A$202,0)),"")</x:f>
        <x:v>21400</x:v>
      </x:c>
      <x:c r="N35" s="180" t="n">
        <x:f>IF(OR(F35="",G35=""),"",F35-G35)</x:f>
        <x:v>0</x:v>
      </x:c>
    </x:row>
    <x:row r="36">
      <x:c r="A36" s="107" t="n">
        <x:v>45535</x:v>
      </x:c>
      <x:c r="B36" s="102" t="n">
        <x:f>IF(I36="","",IF(MONTH($A36)=1,I36,I36-I35))</x:f>
        <x:v>8051</x:v>
      </x:c>
      <x:c r="C36" s="102" t="n">
        <x:f>IF(J36="","",IF(MONTH($A36)=1,J36,J36-J35))</x:f>
        <x:v>1423</x:v>
      </x:c>
      <x:c r="D36" s="102" t="n">
        <x:f>IF(K36="","",IF(MONTH($A36)=1,K36,K36-K35))</x:f>
        <x:v>2618</x:v>
      </x:c>
      <x:c r="E36" s="102" t="n">
        <x:f>IF(OR(G36="",H36=""),"",G36-H36)</x:f>
        <x:v>8288</x:v>
      </x:c>
      <x:c r="F36" s="102" t="n">
        <x:f>IF(COUNT(B36:D36)=0,"",SUM(B36:D36))</x:f>
        <x:v>12092</x:v>
      </x:c>
      <x:c r="G36" s="102" t="n">
        <x:f>IF(L36="","",IF(MONTH($A36)=1,L36,L36-L35))</x:f>
        <x:v>12092</x:v>
      </x:c>
      <x:c r="H36" s="102" t="n">
        <x:f>IF(M36="","",IF(MONTH($A36)=1,M36,M36-M35))</x:f>
        <x:v>3804</x:v>
      </x:c>
      <x:c r="I36" s="180" t="n">
        <x:f>IFERROR(INDEX(Sheet4!$E$5:$E$118,MATCH($A36,Sheet4!$A$5:$A$118,0)),"")</x:f>
        <x:v>25800</x:v>
      </x:c>
      <x:c r="J36" s="180" t="n">
        <x:f>IFERROR(INDEX(Sheet4!$F$5:$F$118,MATCH($A36,Sheet4!$A$5:$A$118,0)),"")</x:f>
        <x:v>5133</x:v>
      </x:c>
      <x:c r="K36" s="180" t="n">
        <x:f>IFERROR(INDEX(Sheet4!$G$5:$G$118,MATCH($A36,Sheet4!$A$5:$A$118,0)),"")</x:f>
        <x:v>23195</x:v>
      </x:c>
      <x:c r="L36" s="180" t="n">
        <x:f>IFERROR(INDEX(Sheet1!$K$5:$K$202,MATCH($A36,Sheet1!$A$5:$A$202,0)),"")</x:f>
        <x:v>54128</x:v>
      </x:c>
      <x:c r="M36" s="180" t="n">
        <x:f>IFERROR(INDEX(Sheet1!$L$5:$L$202,MATCH($A36,Sheet1!$A$5:$A$202,0)),"")</x:f>
        <x:v>25204</x:v>
      </x:c>
      <x:c r="N36" s="180" t="n">
        <x:f>IF(OR(F36="",G36=""),"",F36-G36)</x:f>
        <x:v>0</x:v>
      </x:c>
    </x:row>
    <x:row r="37">
      <x:c r="A37" s="107" t="n">
        <x:v>45565</x:v>
      </x:c>
      <x:c r="B37" s="102" t="n">
        <x:f>IF(I37="","",IF(MONTH($A37)=1,I37,I37-I36))</x:f>
        <x:v>10329</x:v>
      </x:c>
      <x:c r="C37" s="102" t="n">
        <x:f>IF(J37="","",IF(MONTH($A37)=1,J37,J37-J36))</x:f>
        <x:v>1041</x:v>
      </x:c>
      <x:c r="D37" s="102" t="n">
        <x:f>IF(K37="","",IF(MONTH($A37)=1,K37,K37-K36))</x:f>
        <x:v>1523</x:v>
      </x:c>
      <x:c r="E37" s="102" t="n">
        <x:f>IF(OR(G37="",H37=""),"",G37-H37)</x:f>
        <x:v>11106</x:v>
      </x:c>
      <x:c r="F37" s="102" t="n">
        <x:f>IF(COUNT(B37:D37)=0,"",SUM(B37:D37))</x:f>
        <x:v>12893</x:v>
      </x:c>
      <x:c r="G37" s="102" t="n">
        <x:f>IF(L37="","",IF(MONTH($A37)=1,L37,L37-L36))</x:f>
        <x:v>12893</x:v>
      </x:c>
      <x:c r="H37" s="102" t="n">
        <x:f>IF(M37="","",IF(MONTH($A37)=1,M37,M37-M36))</x:f>
        <x:v>1787</x:v>
      </x:c>
      <x:c r="I37" s="180" t="n">
        <x:f>IFERROR(INDEX(Sheet4!$E$5:$E$118,MATCH($A37,Sheet4!$A$5:$A$118,0)),"")</x:f>
        <x:v>36129</x:v>
      </x:c>
      <x:c r="J37" s="180" t="n">
        <x:f>IFERROR(INDEX(Sheet4!$F$5:$F$118,MATCH($A37,Sheet4!$A$5:$A$118,0)),"")</x:f>
        <x:v>6174</x:v>
      </x:c>
      <x:c r="K37" s="180" t="n">
        <x:f>IFERROR(INDEX(Sheet4!$G$5:$G$118,MATCH($A37,Sheet4!$A$5:$A$118,0)),"")</x:f>
        <x:v>24718</x:v>
      </x:c>
      <x:c r="L37" s="180" t="n">
        <x:f>IFERROR(INDEX(Sheet1!$K$5:$K$202,MATCH($A37,Sheet1!$A$5:$A$202,0)),"")</x:f>
        <x:v>67021</x:v>
      </x:c>
      <x:c r="M37" s="180" t="n">
        <x:f>IFERROR(INDEX(Sheet1!$L$5:$L$202,MATCH($A37,Sheet1!$A$5:$A$202,0)),"")</x:f>
        <x:v>26991</x:v>
      </x:c>
      <x:c r="N37" s="180" t="n">
        <x:f>IF(OR(F37="",G37=""),"",F37-G37)</x:f>
        <x:v>0</x:v>
      </x:c>
    </x:row>
    <x:row r="38">
      <x:c r="A38" s="107" t="n">
        <x:v>45596</x:v>
      </x:c>
      <x:c r="B38" s="102" t="n">
        <x:f>IF(I38="","",IF(MONTH($A38)=1,I38,I38-I37))</x:f>
        <x:v>2992</x:v>
      </x:c>
      <x:c r="C38" s="102" t="n">
        <x:f>IF(J38="","",IF(MONTH($A38)=1,J38,J38-J37))</x:f>
        <x:v>394</x:v>
      </x:c>
      <x:c r="D38" s="102" t="n">
        <x:f>IF(K38="","",IF(MONTH($A38)=1,K38,K38-K37))</x:f>
        <x:v>3475</x:v>
      </x:c>
      <x:c r="E38" s="102" t="n">
        <x:f>IF(OR(G38="",H38=""),"",G38-H38)</x:f>
        <x:v>5758</x:v>
      </x:c>
      <x:c r="F38" s="102" t="n">
        <x:f>IF(COUNT(B38:D38)=0,"",SUM(B38:D38))</x:f>
        <x:v>6861</x:v>
      </x:c>
      <x:c r="G38" s="102" t="n">
        <x:f>IF(L38="","",IF(MONTH($A38)=1,L38,L38-L37))</x:f>
        <x:v>6861</x:v>
      </x:c>
      <x:c r="H38" s="102" t="n">
        <x:f>IF(M38="","",IF(MONTH($A38)=1,M38,M38-M37))</x:f>
        <x:v>1103</x:v>
      </x:c>
      <x:c r="I38" s="180" t="n">
        <x:f>IFERROR(INDEX(Sheet4!$E$5:$E$118,MATCH($A38,Sheet4!$A$5:$A$118,0)),"")</x:f>
        <x:v>39121</x:v>
      </x:c>
      <x:c r="J38" s="180" t="n">
        <x:f>IFERROR(INDEX(Sheet4!$F$5:$F$118,MATCH($A38,Sheet4!$A$5:$A$118,0)),"")</x:f>
        <x:v>6568</x:v>
      </x:c>
      <x:c r="K38" s="180" t="n">
        <x:f>IFERROR(INDEX(Sheet4!$G$5:$G$118,MATCH($A38,Sheet4!$A$5:$A$118,0)),"")</x:f>
        <x:v>28193</x:v>
      </x:c>
      <x:c r="L38" s="180" t="n">
        <x:f>IFERROR(INDEX(Sheet1!$K$5:$K$202,MATCH($A38,Sheet1!$A$5:$A$202,0)),"")</x:f>
        <x:v>73882</x:v>
      </x:c>
      <x:c r="M38" s="180" t="n">
        <x:f>IFERROR(INDEX(Sheet1!$L$5:$L$202,MATCH($A38,Sheet1!$A$5:$A$202,0)),"")</x:f>
        <x:v>28094</x:v>
      </x:c>
      <x:c r="N38" s="180" t="n">
        <x:f>IF(OR(F38="",G38=""),"",F38-G38)</x:f>
        <x:v>0</x:v>
      </x:c>
    </x:row>
    <x:row r="39">
      <x:c r="A39" s="107" t="n">
        <x:v>45626</x:v>
      </x:c>
      <x:c r="B39" s="102" t="n">
        <x:f>IF(I39="","",IF(MONTH($A39)=1,I39,I39-I38))</x:f>
        <x:v>856</x:v>
      </x:c>
      <x:c r="C39" s="102" t="n">
        <x:f>IF(J39="","",IF(MONTH($A39)=1,J39,J39-J38))</x:f>
        <x:v>195</x:v>
      </x:c>
      <x:c r="D39" s="102" t="n">
        <x:f>IF(K39="","",IF(MONTH($A39)=1,K39,K39-K38))</x:f>
        <x:v>12090</x:v>
      </x:c>
      <x:c r="E39" s="102" t="n">
        <x:f>IF(OR(G39="",H39=""),"",G39-H39)</x:f>
        <x:v>11813</x:v>
      </x:c>
      <x:c r="F39" s="102" t="n">
        <x:f>IF(COUNT(B39:D39)=0,"",SUM(B39:D39))</x:f>
        <x:v>13141</x:v>
      </x:c>
      <x:c r="G39" s="102" t="n">
        <x:f>IF(L39="","",IF(MONTH($A39)=1,L39,L39-L38))</x:f>
        <x:v>13141</x:v>
      </x:c>
      <x:c r="H39" s="102" t="n">
        <x:f>IF(M39="","",IF(MONTH($A39)=1,M39,M39-M38))</x:f>
        <x:v>1328</x:v>
      </x:c>
      <x:c r="I39" s="180" t="n">
        <x:f>IFERROR(INDEX(Sheet4!$E$5:$E$118,MATCH($A39,Sheet4!$A$5:$A$118,0)),"")</x:f>
        <x:v>39977</x:v>
      </x:c>
      <x:c r="J39" s="180" t="n">
        <x:f>IFERROR(INDEX(Sheet4!$F$5:$F$118,MATCH($A39,Sheet4!$A$5:$A$118,0)),"")</x:f>
        <x:v>6763</x:v>
      </x:c>
      <x:c r="K39" s="180" t="n">
        <x:f>IFERROR(INDEX(Sheet4!$G$5:$G$118,MATCH($A39,Sheet4!$A$5:$A$118,0)),"")</x:f>
        <x:v>40283</x:v>
      </x:c>
      <x:c r="L39" s="180" t="n">
        <x:f>IFERROR(INDEX(Sheet1!$K$5:$K$202,MATCH($A39,Sheet1!$A$5:$A$202,0)),"")</x:f>
        <x:v>87023</x:v>
      </x:c>
      <x:c r="M39" s="180" t="n">
        <x:f>IFERROR(INDEX(Sheet1!$L$5:$L$202,MATCH($A39,Sheet1!$A$5:$A$202,0)),"")</x:f>
        <x:v>29422</x:v>
      </x:c>
      <x:c r="N39" s="180" t="n">
        <x:f>IF(OR(F39="",G39=""),"",F39-G39)</x:f>
        <x:v>0</x:v>
      </x:c>
    </x:row>
    <x:row r="40">
      <x:c r="A40" s="107" t="n">
        <x:v>45657</x:v>
      </x:c>
      <x:c r="B40" s="102" t="n">
        <x:f>IF(I40="","",IF(MONTH($A40)=1,I40,I40-I39))</x:f>
        <x:v>211</x:v>
      </x:c>
      <x:c r="C40" s="102" t="n">
        <x:f>IF(J40="","",IF(MONTH($A40)=1,J40,J40-J39))</x:f>
        <x:v>242</x:v>
      </x:c>
      <x:c r="D40" s="102" t="n">
        <x:f>IF(K40="","",IF(MONTH($A40)=1,K40,K40-K39))</x:f>
        <x:v>10460</x:v>
      </x:c>
      <x:c r="E40" s="102" t="n">
        <x:f>IF(OR(G40="",H40=""),"",G40-H40)</x:f>
        <x:v>10455</x:v>
      </x:c>
      <x:c r="F40" s="102" t="n">
        <x:f>IF(COUNT(B40:D40)=0,"",SUM(B40:D40))</x:f>
        <x:v>10913</x:v>
      </x:c>
      <x:c r="G40" s="102" t="n">
        <x:f>IF(L40="","",IF(MONTH($A40)=1,L40,L40-L39))</x:f>
        <x:v>10913</x:v>
      </x:c>
      <x:c r="H40" s="102" t="n">
        <x:f>IF(M40="","",IF(MONTH($A40)=1,M40,M40-M39))</x:f>
        <x:v>458</x:v>
      </x:c>
      <x:c r="I40" s="180" t="n">
        <x:f>IFERROR(INDEX(Sheet4!$E$5:$E$118,MATCH($A40,Sheet4!$A$5:$A$118,0)),"")</x:f>
        <x:v>40188</x:v>
      </x:c>
      <x:c r="J40" s="180" t="n">
        <x:f>IFERROR(INDEX(Sheet4!$F$5:$F$118,MATCH($A40,Sheet4!$A$5:$A$118,0)),"")</x:f>
        <x:v>7005</x:v>
      </x:c>
      <x:c r="K40" s="180" t="n">
        <x:f>IFERROR(INDEX(Sheet4!$G$5:$G$118,MATCH($A40,Sheet4!$A$5:$A$118,0)),"")</x:f>
        <x:v>50743</x:v>
      </x:c>
      <x:c r="L40" s="180" t="n">
        <x:f>IFERROR(INDEX(Sheet1!$K$5:$K$202,MATCH($A40,Sheet1!$A$5:$A$202,0)),"")</x:f>
        <x:v>97936</x:v>
      </x:c>
      <x:c r="M40" s="180" t="n">
        <x:f>IFERROR(INDEX(Sheet1!$L$5:$L$202,MATCH($A40,Sheet1!$A$5:$A$202,0)),"")</x:f>
        <x:v>29880</x:v>
      </x:c>
      <x:c r="N40" s="180" t="n">
        <x:f>IF(OR(F40="",G40=""),"",F40-G40)</x:f>
        <x:v>0</x:v>
      </x:c>
    </x:row>
    <x:row r="41">
      <x:c r="A41" s="107" t="n">
        <x:v>45688</x:v>
      </x:c>
      <x:c r="B41" s="102" t="n">
        <x:f>IF(I41="","",IF(MONTH($A41)=1,I41,I41-I40))</x:f>
        <x:v>2048</x:v>
      </x:c>
      <x:c r="C41" s="102" t="n">
        <x:f>IF(J41="","",IF(MONTH($A41)=1,J41,J41-J40))</x:f>
        <x:v>1005</x:v>
      </x:c>
      <x:c r="D41" s="102" t="n">
        <x:f>IF(K41="","",IF(MONTH($A41)=1,K41,K41-K40))</x:f>
        <x:v>2522</x:v>
      </x:c>
      <x:c r="E41" s="102" t="n">
        <x:f>IF(OR(G41="",H41=""),"",G41-H41)</x:f>
        <x:v>4760</x:v>
      </x:c>
      <x:c r="F41" s="102" t="n">
        <x:f>IF(COUNT(B41:D41)=0,"",SUM(B41:D41))</x:f>
        <x:v>5575</x:v>
      </x:c>
      <x:c r="G41" s="102" t="n">
        <x:f>IF(L41="","",IF(MONTH($A41)=1,L41,L41-L40))</x:f>
        <x:v>5575</x:v>
      </x:c>
      <x:c r="H41" s="102" t="n">
        <x:f>IF(M41="","",IF(MONTH($A41)=1,M41,M41-M40))</x:f>
        <x:v>815</x:v>
      </x:c>
      <x:c r="I41" s="180" t="n">
        <x:f>IFERROR(INDEX(Sheet4!$E$5:$E$118,MATCH($A41,Sheet4!$A$5:$A$118,0)),"")</x:f>
        <x:v>2048</x:v>
      </x:c>
      <x:c r="J41" s="180" t="n">
        <x:f>IFERROR(INDEX(Sheet4!$F$5:$F$118,MATCH($A41,Sheet4!$A$5:$A$118,0)),"")</x:f>
        <x:v>1005</x:v>
      </x:c>
      <x:c r="K41" s="180" t="n">
        <x:f>IFERROR(INDEX(Sheet4!$G$5:$G$118,MATCH($A41,Sheet4!$A$5:$A$118,0)),"")</x:f>
        <x:v>2522</x:v>
      </x:c>
      <x:c r="L41" s="180" t="n">
        <x:f>IFERROR(INDEX(Sheet1!$K$5:$K$202,MATCH($A41,Sheet1!$A$5:$A$202,0)),"")</x:f>
        <x:v>5575</x:v>
      </x:c>
      <x:c r="M41" s="180" t="n">
        <x:f>IFERROR(INDEX(Sheet1!$L$5:$L$202,MATCH($A41,Sheet1!$A$5:$A$202,0)),"")</x:f>
        <x:v>815</x:v>
      </x:c>
      <x:c r="N41" s="180" t="n">
        <x:f>IF(OR(F41="",G41=""),"",F41-G41)</x:f>
        <x:v>0</x:v>
      </x:c>
    </x:row>
    <x:row r="42">
      <x:c r="A42" s="107" t="n">
        <x:v>45716</x:v>
      </x:c>
      <x:c r="B42" s="102" t="n">
        <x:f>IF(I42="","",IF(MONTH($A42)=1,I42,I42-I41))</x:f>
        <x:v>3920</x:v>
      </x:c>
      <x:c r="C42" s="102" t="n">
        <x:f>IF(J42="","",IF(MONTH($A42)=1,J42,J42-J41))</x:f>
        <x:v>1046</x:v>
      </x:c>
      <x:c r="D42" s="102" t="n">
        <x:f>IF(K42="","",IF(MONTH($A42)=1,K42,K42-K41))</x:f>
        <x:v>8092</x:v>
      </x:c>
      <x:c r="E42" s="102" t="n">
        <x:f>IF(OR(G42="",H42=""),"",G42-H42)</x:f>
        <x:v>12728</x:v>
      </x:c>
      <x:c r="F42" s="102" t="n">
        <x:f>IF(COUNT(B42:D42)=0,"",SUM(B42:D42))</x:f>
        <x:v>13058</x:v>
      </x:c>
      <x:c r="G42" s="102" t="n">
        <x:f>IF(L42="","",IF(MONTH($A42)=1,L42,L42-L41))</x:f>
        <x:v>13058</x:v>
      </x:c>
      <x:c r="H42" s="102" t="n">
        <x:f>IF(M42="","",IF(MONTH($A42)=1,M42,M42-M41))</x:f>
        <x:v>330</x:v>
      </x:c>
      <x:c r="I42" s="180" t="n">
        <x:f>IFERROR(INDEX(Sheet4!$E$5:$E$118,MATCH($A42,Sheet4!$A$5:$A$118,0)),"")</x:f>
        <x:v>5968</x:v>
      </x:c>
      <x:c r="J42" s="180" t="n">
        <x:f>IFERROR(INDEX(Sheet4!$F$5:$F$118,MATCH($A42,Sheet4!$A$5:$A$118,0)),"")</x:f>
        <x:v>2051</x:v>
      </x:c>
      <x:c r="K42" s="180" t="n">
        <x:f>IFERROR(INDEX(Sheet4!$G$5:$G$118,MATCH($A42,Sheet4!$A$5:$A$118,0)),"")</x:f>
        <x:v>10614</x:v>
      </x:c>
      <x:c r="L42" s="180" t="n">
        <x:f>IFERROR(INDEX(Sheet1!$K$5:$K$202,MATCH($A42,Sheet1!$A$5:$A$202,0)),"")</x:f>
        <x:v>18633</x:v>
      </x:c>
      <x:c r="M42" s="180" t="n">
        <x:f>IFERROR(INDEX(Sheet1!$L$5:$L$202,MATCH($A42,Sheet1!$A$5:$A$202,0)),"")</x:f>
        <x:v>1145</x:v>
      </x:c>
      <x:c r="N42" s="180" t="n">
        <x:f>IF(OR(F42="",G42=""),"",F42-G42)</x:f>
        <x:v>0</x:v>
      </x:c>
    </x:row>
    <x:row r="43">
      <x:c r="A43" s="107" t="n">
        <x:v>45747</x:v>
      </x:c>
      <x:c r="B43" s="102" t="n">
        <x:f>IF(I43="","",IF(MONTH($A43)=1,I43,I43-I42))</x:f>
        <x:v>3635</x:v>
      </x:c>
      <x:c r="C43" s="102" t="n">
        <x:f>IF(J43="","",IF(MONTH($A43)=1,J43,J43-J42))</x:f>
        <x:v>740</x:v>
      </x:c>
      <x:c r="D43" s="102" t="n">
        <x:f>IF(K43="","",IF(MONTH($A43)=1,K43,K43-K42))</x:f>
        <x:v>5413</x:v>
      </x:c>
      <x:c r="E43" s="102" t="n">
        <x:f>IF(OR(G43="",H43=""),"",G43-H43)</x:f>
        <x:v>8792</x:v>
      </x:c>
      <x:c r="F43" s="102" t="n">
        <x:f>IF(COUNT(B43:D43)=0,"",SUM(B43:D43))</x:f>
        <x:v>9788</x:v>
      </x:c>
      <x:c r="G43" s="102" t="n">
        <x:f>IF(L43="","",IF(MONTH($A43)=1,L43,L43-L42))</x:f>
        <x:v>9788</x:v>
      </x:c>
      <x:c r="H43" s="102" t="n">
        <x:f>IF(M43="","",IF(MONTH($A43)=1,M43,M43-M42))</x:f>
        <x:v>996</x:v>
      </x:c>
      <x:c r="I43" s="180" t="n">
        <x:f>IFERROR(INDEX(Sheet4!$E$5:$E$118,MATCH($A43,Sheet4!$A$5:$A$118,0)),"")</x:f>
        <x:v>9603</x:v>
      </x:c>
      <x:c r="J43" s="180" t="n">
        <x:f>IFERROR(INDEX(Sheet4!$F$5:$F$118,MATCH($A43,Sheet4!$A$5:$A$118,0)),"")</x:f>
        <x:v>2791</x:v>
      </x:c>
      <x:c r="K43" s="180" t="n">
        <x:f>IFERROR(INDEX(Sheet4!$G$5:$G$118,MATCH($A43,Sheet4!$A$5:$A$118,0)),"")</x:f>
        <x:v>16027</x:v>
      </x:c>
      <x:c r="L43" s="180" t="n">
        <x:f>IFERROR(INDEX(Sheet1!$K$5:$K$202,MATCH($A43,Sheet1!$A$5:$A$202,0)),"")</x:f>
        <x:v>28421</x:v>
      </x:c>
      <x:c r="M43" s="180" t="n">
        <x:f>IFERROR(INDEX(Sheet1!$L$5:$L$202,MATCH($A43,Sheet1!$A$5:$A$202,0)),"")</x:f>
        <x:v>2141</x:v>
      </x:c>
      <x:c r="N43" s="180" t="n">
        <x:f>IF(OR(F43="",G43=""),"",F43-G43)</x:f>
        <x:v>0</x:v>
      </x:c>
    </x:row>
    <x:row r="44">
      <x:c r="A44" s="107" t="n">
        <x:v>45777</x:v>
      </x:c>
      <x:c r="B44" s="102" t="n">
        <x:f>IF(I44="","",IF(MONTH($A44)=1,I44,I44-I43))</x:f>
        <x:v>2301</x:v>
      </x:c>
      <x:c r="C44" s="102" t="n">
        <x:f>IF(J44="","",IF(MONTH($A44)=1,J44,J44-J43))</x:f>
        <x:v>232</x:v>
      </x:c>
      <x:c r="D44" s="102" t="n">
        <x:f>IF(K44="","",IF(MONTH($A44)=1,K44,K44-K43))</x:f>
        <x:v>4400</x:v>
      </x:c>
      <x:c r="E44" s="102" t="n">
        <x:f>IF(OR(G44="",H44=""),"",G44-H44)</x:f>
        <x:v>5281</x:v>
      </x:c>
      <x:c r="F44" s="102" t="n">
        <x:f>IF(COUNT(B44:D44)=0,"",SUM(B44:D44))</x:f>
        <x:v>6933</x:v>
      </x:c>
      <x:c r="G44" s="102" t="n">
        <x:f>IF(L44="","",IF(MONTH($A44)=1,L44,L44-L43))</x:f>
        <x:v>6933</x:v>
      </x:c>
      <x:c r="H44" s="102" t="n">
        <x:f>IF(M44="","",IF(MONTH($A44)=1,M44,M44-M43))</x:f>
        <x:v>1652</x:v>
      </x:c>
      <x:c r="I44" s="180" t="n">
        <x:f>IFERROR(INDEX(Sheet4!$E$5:$E$118,MATCH($A44,Sheet4!$A$5:$A$118,0)),"")</x:f>
        <x:v>11904</x:v>
      </x:c>
      <x:c r="J44" s="180" t="n">
        <x:f>IFERROR(INDEX(Sheet4!$F$5:$F$118,MATCH($A44,Sheet4!$A$5:$A$118,0)),"")</x:f>
        <x:v>3023</x:v>
      </x:c>
      <x:c r="K44" s="180" t="n">
        <x:f>IFERROR(INDEX(Sheet4!$G$5:$G$118,MATCH($A44,Sheet4!$A$5:$A$118,0)),"")</x:f>
        <x:v>20427</x:v>
      </x:c>
      <x:c r="L44" s="180" t="n">
        <x:f>IFERROR(INDEX(Sheet1!$K$5:$K$202,MATCH($A44,Sheet1!$A$5:$A$202,0)),"")</x:f>
        <x:v>35354</x:v>
      </x:c>
      <x:c r="M44" s="180" t="n">
        <x:f>IFERROR(INDEX(Sheet1!$L$5:$L$202,MATCH($A44,Sheet1!$A$5:$A$202,0)),"")</x:f>
        <x:v>3793</x:v>
      </x:c>
      <x:c r="N44" s="180" t="n">
        <x:f>IF(OR(F44="",G44=""),"",F44-G44)</x:f>
        <x:v>0</x:v>
      </x:c>
    </x:row>
    <x:row r="45">
      <x:c r="A45" s="107" t="n">
        <x:v>45808</x:v>
      </x:c>
      <x:c r="B45" s="102" t="n">
        <x:f>IF(I45="","",IF(MONTH($A45)=1,I45,I45-I44))</x:f>
        <x:v>4432</x:v>
      </x:c>
      <x:c r="C45" s="102" t="n">
        <x:f>IF(J45="","",IF(MONTH($A45)=1,J45,J45-J44))</x:f>
        <x:v>487</x:v>
      </x:c>
      <x:c r="D45" s="102" t="n">
        <x:f>IF(K45="","",IF(MONTH($A45)=1,K45,K45-K44))</x:f>
        <x:v>2875</x:v>
      </x:c>
      <x:c r="E45" s="102" t="n">
        <x:f>IF(OR(G45="",H45=""),"",G45-H45)</x:f>
        <x:v>5543</x:v>
      </x:c>
      <x:c r="F45" s="102" t="n">
        <x:f>IF(COUNT(B45:D45)=0,"",SUM(B45:D45))</x:f>
        <x:v>7794</x:v>
      </x:c>
      <x:c r="G45" s="102" t="n">
        <x:f>IF(L45="","",IF(MONTH($A45)=1,L45,L45-L44))</x:f>
        <x:v>7794</x:v>
      </x:c>
      <x:c r="H45" s="102" t="n">
        <x:f>IF(M45="","",IF(MONTH($A45)=1,M45,M45-M44))</x:f>
        <x:v>2251</x:v>
      </x:c>
      <x:c r="I45" s="180" t="n">
        <x:f>IFERROR(INDEX(Sheet4!$E$5:$E$118,MATCH($A45,Sheet4!$A$5:$A$118,0)),"")</x:f>
        <x:v>16336</x:v>
      </x:c>
      <x:c r="J45" s="180" t="n">
        <x:f>IFERROR(INDEX(Sheet4!$F$5:$F$118,MATCH($A45,Sheet4!$A$5:$A$118,0)),"")</x:f>
        <x:v>3510</x:v>
      </x:c>
      <x:c r="K45" s="180" t="n">
        <x:f>IFERROR(INDEX(Sheet4!$G$5:$G$118,MATCH($A45,Sheet4!$A$5:$A$118,0)),"")</x:f>
        <x:v>23302</x:v>
      </x:c>
      <x:c r="L45" s="180" t="n">
        <x:f>IFERROR(INDEX(Sheet1!$K$5:$K$202,MATCH($A45,Sheet1!$A$5:$A$202,0)),"")</x:f>
        <x:v>43148</x:v>
      </x:c>
      <x:c r="M45" s="180" t="n">
        <x:f>IFERROR(INDEX(Sheet1!$L$5:$L$202,MATCH($A45,Sheet1!$A$5:$A$202,0)),"")</x:f>
        <x:v>6044</x:v>
      </x:c>
      <x:c r="N45" s="180" t="n">
        <x:f>IF(OR(F45="",G45=""),"",F45-G45)</x:f>
        <x:v>0</x:v>
      </x:c>
    </x:row>
    <x:row r="46">
      <x:c r="A46" s="107" t="n">
        <x:v>45838</x:v>
      </x:c>
      <x:c r="B46" s="102" t="n">
        <x:f>IF(I46="","",IF(MONTH($A46)=1,I46,I46-I45))</x:f>
        <x:v>5271</x:v>
      </x:c>
      <x:c r="C46" s="102" t="n">
        <x:f>IF(J46="","",IF(MONTH($A46)=1,J46,J46-J45))</x:f>
        <x:v>1010</x:v>
      </x:c>
      <x:c r="D46" s="102" t="n">
        <x:f>IF(K46="","",IF(MONTH($A46)=1,K46,K46-K45))</x:f>
        <x:v>5473</x:v>
      </x:c>
      <x:c r="E46" s="102" t="n">
        <x:f>IF(OR(G46="",H46=""),"",G46-H46)</x:f>
        <x:v>7029</x:v>
      </x:c>
      <x:c r="F46" s="102" t="n">
        <x:f>IF(COUNT(B46:D46)=0,"",SUM(B46:D46))</x:f>
        <x:v>11754</x:v>
      </x:c>
      <x:c r="G46" s="102" t="n">
        <x:f>IF(L46="","",IF(MONTH($A46)=1,L46,L46-L45))</x:f>
        <x:v>11754</x:v>
      </x:c>
      <x:c r="H46" s="102" t="n">
        <x:f>IF(M46="","",IF(MONTH($A46)=1,M46,M46-M45))</x:f>
        <x:v>4725</x:v>
      </x:c>
      <x:c r="I46" s="180" t="n">
        <x:f>IFERROR(INDEX(Sheet4!$E$5:$E$118,MATCH($A46,Sheet4!$A$5:$A$118,0)),"")</x:f>
        <x:v>21607</x:v>
      </x:c>
      <x:c r="J46" s="180" t="n">
        <x:f>IFERROR(INDEX(Sheet4!$F$5:$F$118,MATCH($A46,Sheet4!$A$5:$A$118,0)),"")</x:f>
        <x:v>4520</x:v>
      </x:c>
      <x:c r="K46" s="180" t="n">
        <x:f>IFERROR(INDEX(Sheet4!$G$5:$G$118,MATCH($A46,Sheet4!$A$5:$A$118,0)),"")</x:f>
        <x:v>28775</x:v>
      </x:c>
      <x:c r="L46" s="180" t="n">
        <x:f>IFERROR(INDEX(Sheet1!$K$5:$K$202,MATCH($A46,Sheet1!$A$5:$A$202,0)),"")</x:f>
        <x:v>54902</x:v>
      </x:c>
      <x:c r="M46" s="180" t="n">
        <x:f>IFERROR(INDEX(Sheet1!$L$5:$L$202,MATCH($A46,Sheet1!$A$5:$A$202,0)),"")</x:f>
        <x:v>10769</x:v>
      </x:c>
      <x:c r="N46" s="180" t="n">
        <x:f>IF(OR(F46="",G46=""),"",F46-G46)</x:f>
        <x:v>0</x:v>
      </x:c>
    </x:row>
    <x:row r="47">
      <x:c r="A47" s="107" t="n">
        <x:v>45869</x:v>
      </x:c>
      <x:c r="B47" s="102" t="n">
        <x:f>IF(I47="","",IF(MONTH($A47)=1,I47,I47-I46))</x:f>
        <x:v>6169</x:v>
      </x:c>
      <x:c r="C47" s="102" t="n">
        <x:f>IF(J47="","",IF(MONTH($A47)=1,J47,J47-J46))</x:f>
        <x:v>863</x:v>
      </x:c>
      <x:c r="D47" s="102" t="n">
        <x:f>IF(K47="","",IF(MONTH($A47)=1,K47,K47-K46))</x:f>
        <x:v>5102</x:v>
      </x:c>
      <x:c r="E47" s="102" t="n">
        <x:f>IF(OR(G47="",H47=""),"",G47-H47)</x:f>
        <x:v>8123</x:v>
      </x:c>
      <x:c r="F47" s="102" t="n">
        <x:f>IF(COUNT(B47:D47)=0,"",SUM(B47:D47))</x:f>
        <x:v>12134</x:v>
      </x:c>
      <x:c r="G47" s="102" t="n">
        <x:f>IF(L47="","",IF(MONTH($A47)=1,L47,L47-L46))</x:f>
        <x:v>12134</x:v>
      </x:c>
      <x:c r="H47" s="102" t="n">
        <x:f>IF(M47="","",IF(MONTH($A47)=1,M47,M47-M46))</x:f>
        <x:v>4011</x:v>
      </x:c>
      <x:c r="I47" s="180" t="n">
        <x:f>IFERROR(INDEX(Sheet4!$E$5:$E$118,MATCH($A47,Sheet4!$A$5:$A$118,0)),"")</x:f>
        <x:v>27776</x:v>
      </x:c>
      <x:c r="J47" s="180" t="n">
        <x:f>IFERROR(INDEX(Sheet4!$F$5:$F$118,MATCH($A47,Sheet4!$A$5:$A$118,0)),"")</x:f>
        <x:v>5383</x:v>
      </x:c>
      <x:c r="K47" s="180" t="n">
        <x:f>IFERROR(INDEX(Sheet4!$G$5:$G$118,MATCH($A47,Sheet4!$A$5:$A$118,0)),"")</x:f>
        <x:v>33877</x:v>
      </x:c>
      <x:c r="L47" s="180" t="n">
        <x:f>IFERROR(INDEX(Sheet1!$K$5:$K$202,MATCH($A47,Sheet1!$A$5:$A$202,0)),"")</x:f>
        <x:v>67036</x:v>
      </x:c>
      <x:c r="M47" s="180" t="n">
        <x:f>IFERROR(INDEX(Sheet1!$L$5:$L$202,MATCH($A47,Sheet1!$A$5:$A$202,0)),"")</x:f>
        <x:v>14780</x:v>
      </x:c>
      <x:c r="N47" s="180" t="n">
        <x:f>IF(OR(F47="",G47=""),"",F47-G47)</x:f>
        <x:v>0</x:v>
      </x:c>
    </x:row>
    <x:row r="48">
      <x:c r="A48" s="107" t="n">
        <x:v>45900</x:v>
      </x:c>
      <x:c r="B48" s="102" t="n">
        <x:f>IF(I48="","",IF(MONTH($A48)=1,I48,I48-I47))</x:f>
        <x:v>4890</x:v>
      </x:c>
      <x:c r="C48" s="102" t="n">
        <x:f>IF(J48="","",IF(MONTH($A48)=1,J48,J48-J47))</x:f>
        <x:v>825</x:v>
      </x:c>
      <x:c r="D48" s="102" t="n">
        <x:f>IF(K48="","",IF(MONTH($A48)=1,K48,K48-K47))</x:f>
        <x:v>4087</x:v>
      </x:c>
      <x:c r="E48" s="102" t="n">
        <x:f>IF(OR(G48="",H48=""),"",G48-H48)</x:f>
        <x:v>4827</x:v>
      </x:c>
      <x:c r="F48" s="102" t="n">
        <x:f>IF(COUNT(B48:D48)=0,"",SUM(B48:D48))</x:f>
        <x:v>9802</x:v>
      </x:c>
      <x:c r="G48" s="102" t="n">
        <x:f>IF(L48="","",IF(MONTH($A48)=1,L48,L48-L47))</x:f>
        <x:v>9802</x:v>
      </x:c>
      <x:c r="H48" s="102" t="n">
        <x:f>IF(M48="","",IF(MONTH($A48)=1,M48,M48-M47))</x:f>
        <x:v>4975</x:v>
      </x:c>
      <x:c r="I48" s="180" t="n">
        <x:f>IFERROR(INDEX(Sheet4!$E$5:$E$118,MATCH($A48,Sheet4!$A$5:$A$118,0)),"")</x:f>
        <x:v>32666</x:v>
      </x:c>
      <x:c r="J48" s="180" t="n">
        <x:f>IFERROR(INDEX(Sheet4!$F$5:$F$118,MATCH($A48,Sheet4!$A$5:$A$118,0)),"")</x:f>
        <x:v>6208</x:v>
      </x:c>
      <x:c r="K48" s="180" t="n">
        <x:f>IFERROR(INDEX(Sheet4!$G$5:$G$118,MATCH($A48,Sheet4!$A$5:$A$118,0)),"")</x:f>
        <x:v>37964</x:v>
      </x:c>
      <x:c r="L48" s="180" t="n">
        <x:f>IFERROR(INDEX(Sheet1!$K$5:$K$202,MATCH($A48,Sheet1!$A$5:$A$202,0)),"")</x:f>
        <x:v>76838</x:v>
      </x:c>
      <x:c r="M48" s="180" t="n">
        <x:f>IFERROR(INDEX(Sheet1!$L$5:$L$202,MATCH($A48,Sheet1!$A$5:$A$202,0)),"")</x:f>
        <x:v>19755</x:v>
      </x:c>
      <x:c r="N48" s="180" t="n">
        <x:f>IF(OR(F48="",G48=""),"",F48-G48)</x:f>
        <x:v>0</x:v>
      </x:c>
    </x:row>
    <x:row r="49">
      <x:c r="A49" s="107" t="n">
        <x:v>45930</x:v>
      </x:c>
      <x:c r="B49" s="102" t="n">
        <x:f>IF(I49="","",IF(MONTH($A49)=1,I49,I49-I48))</x:f>
        <x:v>4191</x:v>
      </x:c>
      <x:c r="C49" s="102" t="n">
        <x:f>IF(J49="","",IF(MONTH($A49)=1,J49,J49-J48))</x:f>
        <x:v>550</x:v>
      </x:c>
      <x:c r="D49" s="102" t="n">
        <x:f>IF(K49="","",IF(MONTH($A49)=1,K49,K49-K48))</x:f>
        <x:v>3878</x:v>
      </x:c>
      <x:c r="E49" s="102" t="n">
        <x:f>IF(OR(G49="",H49=""),"",G49-H49)</x:f>
        <x:v>4511</x:v>
      </x:c>
      <x:c r="F49" s="102" t="n">
        <x:f>IF(COUNT(B49:D49)=0,"",SUM(B49:D49))</x:f>
        <x:v>8619</x:v>
      </x:c>
      <x:c r="G49" s="102" t="n">
        <x:f>IF(L49="","",IF(MONTH($A49)=1,L49,L49-L48))</x:f>
        <x:v>8619</x:v>
      </x:c>
      <x:c r="H49" s="102" t="n">
        <x:f>IF(M49="","",IF(MONTH($A49)=1,M49,M49-M48))</x:f>
        <x:v>4108</x:v>
      </x:c>
      <x:c r="I49" s="180" t="n">
        <x:f>IFERROR(INDEX(Sheet4!$E$5:$E$118,MATCH($A49,Sheet4!$A$5:$A$118,0)),"")</x:f>
        <x:v>36857</x:v>
      </x:c>
      <x:c r="J49" s="180" t="n">
        <x:f>IFERROR(INDEX(Sheet4!$F$5:$F$118,MATCH($A49,Sheet4!$A$5:$A$118,0)),"")</x:f>
        <x:v>6758</x:v>
      </x:c>
      <x:c r="K49" s="180" t="n">
        <x:f>IFERROR(INDEX(Sheet4!$G$5:$G$118,MATCH($A49,Sheet4!$A$5:$A$118,0)),"")</x:f>
        <x:v>41842</x:v>
      </x:c>
      <x:c r="L49" s="180" t="n">
        <x:f>IFERROR(INDEX(Sheet1!$K$5:$K$202,MATCH($A49,Sheet1!$A$5:$A$202,0)),"")</x:f>
        <x:v>85457</x:v>
      </x:c>
      <x:c r="M49" s="180" t="n">
        <x:f>IFERROR(INDEX(Sheet1!$L$5:$L$202,MATCH($A49,Sheet1!$A$5:$A$202,0)),"")</x:f>
        <x:v>23863</x:v>
      </x:c>
      <x:c r="N49" s="180" t="n">
        <x:f>IF(OR(F49="",G49=""),"",F49-G49)</x:f>
        <x:v>0</x:v>
      </x:c>
    </x:row>
    <x:row r="50">
      <x:c r="A50" s="107" t="n">
        <x:v>45961</x:v>
      </x:c>
      <x:c r="B50" s="102" t="n">
        <x:f>IF(I50="","",IF(MONTH($A50)=1,I50,I50-I49))</x:f>
        <x:v>2949</x:v>
      </x:c>
      <x:c r="C50" s="102" t="n">
        <x:f>IF(J50="","",IF(MONTH($A50)=1,J50,J50-J49))</x:f>
        <x:v>182</x:v>
      </x:c>
      <x:c r="D50" s="102" t="n">
        <x:f>IF(K50="","",IF(MONTH($A50)=1,K50,K50-K49))</x:f>
        <x:v>2549</x:v>
      </x:c>
      <x:c r="E50" s="102" t="n">
        <x:f>IF(OR(G50="",H50=""),"",G50-H50)</x:f>
        <x:v>3111</x:v>
      </x:c>
      <x:c r="F50" s="102" t="n">
        <x:f>IF(COUNT(B50:D50)=0,"",SUM(B50:D50))</x:f>
        <x:v>5680</x:v>
      </x:c>
      <x:c r="G50" s="102" t="n">
        <x:f>IF(L50="","",IF(MONTH($A50)=1,L50,L50-L49))</x:f>
        <x:v>5680</x:v>
      </x:c>
      <x:c r="H50" s="102" t="n">
        <x:f>IF(M50="","",IF(MONTH($A50)=1,M50,M50-M49))</x:f>
        <x:v>2569</x:v>
      </x:c>
      <x:c r="I50" s="180" t="n">
        <x:f>IFERROR(INDEX(Sheet4!$E$5:$E$118,MATCH($A50,Sheet4!$A$5:$A$118,0)),"")</x:f>
        <x:v>39806</x:v>
      </x:c>
      <x:c r="J50" s="180" t="n">
        <x:f>IFERROR(INDEX(Sheet4!$F$5:$F$118,MATCH($A50,Sheet4!$A$5:$A$118,0)),"")</x:f>
        <x:v>6940</x:v>
      </x:c>
      <x:c r="K50" s="180" t="n">
        <x:f>IFERROR(INDEX(Sheet4!$G$5:$G$118,MATCH($A50,Sheet4!$A$5:$A$118,0)),"")</x:f>
        <x:v>44391</x:v>
      </x:c>
      <x:c r="L50" s="180" t="n">
        <x:f>IFERROR(INDEX(Sheet1!$K$5:$K$202,MATCH($A50,Sheet1!$A$5:$A$202,0)),"")</x:f>
        <x:v>91137</x:v>
      </x:c>
      <x:c r="M50" s="180" t="n">
        <x:f>IFERROR(INDEX(Sheet1!$L$5:$L$202,MATCH($A50,Sheet1!$A$5:$A$202,0)),"")</x:f>
        <x:v>26432</x:v>
      </x:c>
      <x:c r="N50" s="180" t="n">
        <x:f>IF(OR(F50="",G50=""),"",F50-G50)</x:f>
        <x:v>0</x:v>
      </x:c>
    </x:row>
    <x:row r="51">
      <x:c r="A51" s="107" t="n">
        <x:v>45991</x:v>
      </x:c>
      <x:c r="B51" s="102" t="n">
        <x:f>IF(I51="","",IF(MONTH($A51)=1,I51,I51-I50))</x:f>
        <x:v>4922</x:v>
      </x:c>
      <x:c r="C51" s="102" t="n">
        <x:f>IF(J51="","",IF(MONTH($A51)=1,J51,J51-J50))</x:f>
        <x:v>417</x:v>
      </x:c>
      <x:c r="D51" s="102" t="n">
        <x:f>IF(K51="","",IF(MONTH($A51)=1,K51,K51-K50))</x:f>
        <x:v>3788</x:v>
      </x:c>
      <x:c r="E51" s="102" t="n">
        <x:f>IF(OR(G51="",H51=""),"",G51-H51)</x:f>
        <x:v>6491</x:v>
      </x:c>
      <x:c r="F51" s="102" t="n">
        <x:f>IF(COUNT(B51:D51)=0,"",SUM(B51:D51))</x:f>
        <x:v>9127</x:v>
      </x:c>
      <x:c r="G51" s="102" t="n">
        <x:f>IF(L51="","",IF(MONTH($A51)=1,L51,L51-L50))</x:f>
        <x:v>9127</x:v>
      </x:c>
      <x:c r="H51" s="102" t="n">
        <x:f>IF(M51="","",IF(MONTH($A51)=1,M51,M51-M50))</x:f>
        <x:v>2636</x:v>
      </x:c>
      <x:c r="I51" s="180" t="n">
        <x:f>IFERROR(INDEX(Sheet4!$E$5:$E$118,MATCH($A51,Sheet4!$A$5:$A$118,0)),"")</x:f>
        <x:v>44728</x:v>
      </x:c>
      <x:c r="J51" s="180" t="n">
        <x:f>IFERROR(INDEX(Sheet4!$F$5:$F$118,MATCH($A51,Sheet4!$A$5:$A$118,0)),"")</x:f>
        <x:v>7357</x:v>
      </x:c>
      <x:c r="K51" s="180" t="n">
        <x:f>IFERROR(INDEX(Sheet4!$G$5:$G$118,MATCH($A51,Sheet4!$A$5:$A$118,0)),"")</x:f>
        <x:v>48179</x:v>
      </x:c>
      <x:c r="L51" s="180" t="n">
        <x:f>IFERROR(INDEX(Sheet1!$K$5:$K$202,MATCH($A51,Sheet1!$A$5:$A$202,0)),"")</x:f>
        <x:v>100264</x:v>
      </x:c>
      <x:c r="M51" s="180" t="n">
        <x:f>IFERROR(INDEX(Sheet1!$L$5:$L$202,MATCH($A51,Sheet1!$A$5:$A$202,0)),"")</x:f>
        <x:v>29068</x:v>
      </x:c>
      <x:c r="N51" s="180" t="n">
        <x:f>IF(OR(F51="",G51=""),"",F51-G51)</x:f>
        <x:v>0</x:v>
      </x:c>
    </x:row>
    <x:row r="52">
      <x:c r="A52" s="107" t="n">
        <x:v>46022</x:v>
      </x:c>
      <x:c r="B52" s="102" t="n">
        <x:f>IF(I52="","",IF(MONTH($A52)=1,I52,I52-I51))</x:f>
        <x:v>1349</x:v>
      </x:c>
      <x:c r="C52" s="102" t="n">
        <x:f>IF(J52="","",IF(MONTH($A52)=1,J52,J52-J51))</x:f>
        <x:v>383</x:v>
      </x:c>
      <x:c r="D52" s="102" t="n">
        <x:f>IF(K52="","",IF(MONTH($A52)=1,K52,K52-K51))</x:f>
        <x:v>1105</x:v>
      </x:c>
      <x:c r="E52" s="102" t="n">
        <x:f>IF(OR(G52="",H52=""),"",G52-H52)</x:f>
        <x:v>1651</x:v>
      </x:c>
      <x:c r="F52" s="102" t="n">
        <x:f>IF(COUNT(B52:D52)=0,"",SUM(B52:D52))</x:f>
        <x:v>2837</x:v>
      </x:c>
      <x:c r="G52" s="102" t="n">
        <x:f>IF(L52="","",IF(MONTH($A52)=1,L52,L52-L51))</x:f>
        <x:v>2837</x:v>
      </x:c>
      <x:c r="H52" s="102" t="n">
        <x:f>IF(M52="","",IF(MONTH($A52)=1,M52,M52-M51))</x:f>
        <x:v>1186</x:v>
      </x:c>
      <x:c r="I52" s="180" t="n">
        <x:f>IFERROR(INDEX(Sheet4!$E$5:$E$118,MATCH($A52,Sheet4!$A$5:$A$118,0)),"")</x:f>
        <x:v>46077</x:v>
      </x:c>
      <x:c r="J52" s="180" t="n">
        <x:f>IFERROR(INDEX(Sheet4!$F$5:$F$118,MATCH($A52,Sheet4!$A$5:$A$118,0)),"")</x:f>
        <x:v>7740</x:v>
      </x:c>
      <x:c r="K52" s="180" t="n">
        <x:f>IFERROR(INDEX(Sheet4!$G$5:$G$118,MATCH($A52,Sheet4!$A$5:$A$118,0)),"")</x:f>
        <x:v>49284</x:v>
      </x:c>
      <x:c r="L52" s="180" t="n">
        <x:f>IFERROR(INDEX(Sheet1!$K$5:$K$202,MATCH($A52,Sheet1!$A$5:$A$202,0)),"")</x:f>
        <x:v>103101</x:v>
      </x:c>
      <x:c r="M52" s="180" t="n">
        <x:f>IFERROR(INDEX(Sheet1!$L$5:$L$202,MATCH($A52,Sheet1!$A$5:$A$202,0)),"")</x:f>
        <x:v>30254</x:v>
      </x:c>
      <x:c r="N52" s="180" t="n">
        <x:f>IF(OR(F52="",G52=""),"",F52-G52)</x:f>
        <x:v>0</x:v>
      </x:c>
    </x:row>
    <x:row r="53">
      <x:c r="A53" s="107" t="n">
        <x:v>46053</x:v>
      </x:c>
      <x:c r="B53" s="102" t="n">
        <x:f>IF(I53="","",IF(MONTH($A53)=1,I53,I53-I52))</x:f>
        <x:v>3677</x:v>
      </x:c>
      <x:c r="C53" s="102" t="n">
        <x:f>IF(J53="","",IF(MONTH($A53)=1,J53,J53-J52))</x:f>
        <x:v>608</x:v>
      </x:c>
      <x:c r="D53" s="102" t="n">
        <x:f>IF(K53="","",IF(MONTH($A53)=1,K53,K53-K52))</x:f>
        <x:v>4349</x:v>
      </x:c>
      <x:c r="E53" s="102" t="n">
        <x:f>IF(OR(G53="",H53=""),"",G53-H53)</x:f>
        <x:v>7543</x:v>
      </x:c>
      <x:c r="F53" s="102" t="n">
        <x:f>IF(COUNT(B53:D53)=0,"",SUM(B53:D53))</x:f>
        <x:v>8634</x:v>
      </x:c>
      <x:c r="G53" s="102" t="n">
        <x:f>IF(L53="","",IF(MONTH($A53)=1,L53,L53-L52))</x:f>
        <x:v>8634</x:v>
      </x:c>
      <x:c r="H53" s="102" t="n">
        <x:f>IF(M53="","",IF(MONTH($A53)=1,M53,M53-M52))</x:f>
        <x:v>1091</x:v>
      </x:c>
      <x:c r="I53" s="180" t="n">
        <x:f>IFERROR(INDEX(Sheet4!$E$5:$E$118,MATCH($A53,Sheet4!$A$5:$A$118,0)),"")</x:f>
        <x:v>3677</x:v>
      </x:c>
      <x:c r="J53" s="180" t="n">
        <x:f>IFERROR(INDEX(Sheet4!$F$5:$F$118,MATCH($A53,Sheet4!$A$5:$A$118,0)),"")</x:f>
        <x:v>608</x:v>
      </x:c>
      <x:c r="K53" s="180" t="n">
        <x:f>IFERROR(INDEX(Sheet4!$G$5:$G$118,MATCH($A53,Sheet4!$A$5:$A$118,0)),"")</x:f>
        <x:v>4349</x:v>
      </x:c>
      <x:c r="L53" s="180" t="n">
        <x:f>IFERROR(INDEX(Sheet1!$K$5:$K$202,MATCH($A53,Sheet1!$A$5:$A$202,0)),"")</x:f>
        <x:v>8634</x:v>
      </x:c>
      <x:c r="M53" s="180" t="n">
        <x:f>IFERROR(INDEX(Sheet1!$L$5:$L$202,MATCH($A53,Sheet1!$A$5:$A$202,0)),"")</x:f>
        <x:v>1091</x:v>
      </x:c>
      <x:c r="N53" s="180" t="n">
        <x:f>IF(OR(F53="",G53=""),"",F53-G53)</x:f>
        <x:v>0</x:v>
      </x:c>
    </x:row>
    <x:row r="54">
      <x:c r="A54" s="107" t="n">
        <x:v>46081</x:v>
      </x:c>
      <x:c r="B54" s="102" t="n">
        <x:f>IF(I54="","",IF(MONTH($A54)=1,I54,I54-I53))</x:f>
        <x:v>4565</x:v>
      </x:c>
      <x:c r="C54" s="102" t="n">
        <x:f>IF(J54="","",IF(MONTH($A54)=1,J54,J54-J53))</x:f>
        <x:v>1496</x:v>
      </x:c>
      <x:c r="D54" s="102" t="n">
        <x:f>IF(K54="","",IF(MONTH($A54)=1,K54,K54-K53))</x:f>
        <x:v>5521</x:v>
      </x:c>
      <x:c r="E54" s="102" t="n">
        <x:f>IF(OR(G54="",H54=""),"",G54-H54)</x:f>
        <x:v>10162</x:v>
      </x:c>
      <x:c r="F54" s="102" t="n">
        <x:f>IF(COUNT(B54:D54)=0,"",SUM(B54:D54))</x:f>
        <x:v>11582</x:v>
      </x:c>
      <x:c r="G54" s="102" t="n">
        <x:f>IF(L54="","",IF(MONTH($A54)=1,L54,L54-L53))</x:f>
        <x:v>11582</x:v>
      </x:c>
      <x:c r="H54" s="102" t="n">
        <x:f>IF(M54="","",IF(MONTH($A54)=1,M54,M54-M53))</x:f>
        <x:v>1420</x:v>
      </x:c>
      <x:c r="I54" s="180" t="n">
        <x:f>IFERROR(INDEX(Sheet4!$E$5:$E$118,MATCH($A54,Sheet4!$A$5:$A$118,0)),"")</x:f>
        <x:v>8242</x:v>
      </x:c>
      <x:c r="J54" s="180" t="n">
        <x:f>IFERROR(INDEX(Sheet4!$F$5:$F$118,MATCH($A54,Sheet4!$A$5:$A$118,0)),"")</x:f>
        <x:v>2104</x:v>
      </x:c>
      <x:c r="K54" s="180" t="n">
        <x:f>IFERROR(INDEX(Sheet4!$G$5:$G$118,MATCH($A54,Sheet4!$A$5:$A$118,0)),"")</x:f>
        <x:v>9870</x:v>
      </x:c>
      <x:c r="L54" s="180" t="n">
        <x:f>IFERROR(INDEX(Sheet1!$K$5:$K$202,MATCH($A54,Sheet1!$A$5:$A$202,0)),"")</x:f>
        <x:v>20216</x:v>
      </x:c>
      <x:c r="M54" s="180" t="n">
        <x:f>IFERROR(INDEX(Sheet1!$L$5:$L$202,MATCH($A54,Sheet1!$A$5:$A$202,0)),"")</x:f>
        <x:v>2511</x:v>
      </x:c>
      <x:c r="N54" s="180" t="n">
        <x:f>IF(OR(F54="",G54=""),"",F54-G54)</x:f>
        <x:v>0</x:v>
      </x:c>
    </x:row>
    <x:row r="55">
      <x:c r="A55" s="107" t="n">
        <x:v>46112</x:v>
      </x:c>
      <x:c r="B55" s="102" t="n">
        <x:f>IF(I55="","",IF(MONTH($A55)=1,I55,I55-I54))</x:f>
        <x:v>3357</x:v>
      </x:c>
      <x:c r="C55" s="102" t="n">
        <x:f>IF(J55="","",IF(MONTH($A55)=1,J55,J55-J54))</x:f>
        <x:v>496</x:v>
      </x:c>
      <x:c r="D55" s="102" t="n">
        <x:f>IF(K55="","",IF(MONTH($A55)=1,K55,K55-K54))</x:f>
        <x:v>6990</x:v>
      </x:c>
      <x:c r="E55" s="102" t="n">
        <x:f>IF(OR(G55="",H55=""),"",G55-H55)</x:f>
        <x:v>6652</x:v>
      </x:c>
      <x:c r="F55" s="102" t="n">
        <x:f>IF(COUNT(B55:D55)=0,"",SUM(B55:D55))</x:f>
        <x:v>10843</x:v>
      </x:c>
      <x:c r="G55" s="102" t="n">
        <x:f>IF(L55="","",IF(MONTH($A55)=1,L55,L55-L54))</x:f>
        <x:v>10843</x:v>
      </x:c>
      <x:c r="H55" s="102" t="n">
        <x:f>IF(M55="","",IF(MONTH($A55)=1,M55,M55-M54))</x:f>
        <x:v>4191</x:v>
      </x:c>
      <x:c r="I55" s="180" t="n">
        <x:f>IFERROR(INDEX(Sheet4!$E$5:$E$118,MATCH($A55,Sheet4!$A$5:$A$118,0)),"")</x:f>
        <x:v>11599</x:v>
      </x:c>
      <x:c r="J55" s="180" t="n">
        <x:f>IFERROR(INDEX(Sheet4!$F$5:$F$118,MATCH($A55,Sheet4!$A$5:$A$118,0)),"")</x:f>
        <x:v>2600</x:v>
      </x:c>
      <x:c r="K55" s="180" t="n">
        <x:f>IFERROR(INDEX(Sheet4!$G$5:$G$118,MATCH($A55,Sheet4!$A$5:$A$118,0)),"")</x:f>
        <x:v>16860</x:v>
      </x:c>
      <x:c r="L55" s="180" t="n">
        <x:f>IFERROR(INDEX(Sheet1!$K$5:$K$202,MATCH($A55,Sheet1!$A$5:$A$202,0)),"")</x:f>
        <x:v>31059</x:v>
      </x:c>
      <x:c r="M55" s="180" t="n">
        <x:f>IFERROR(INDEX(Sheet1!$L$5:$L$202,MATCH($A55,Sheet1!$A$5:$A$202,0)),"")</x:f>
        <x:v>6702</x:v>
      </x:c>
      <x:c r="N55" s="180" t="n">
        <x:f>IF(OR(F55="",G55=""),"",F55-G55)</x:f>
        <x:v>0</x:v>
      </x:c>
    </x:row>
    <x:row r="56">
      <x:c r="A56" s="107" t="n">
        <x:v>46142</x:v>
      </x:c>
      <x:c r="B56" s="102" t="n">
        <x:f>IF(I56="","",IF(MONTH($A56)=1,I56,I56-I55))</x:f>
        <x:v>1744</x:v>
      </x:c>
      <x:c r="C56" s="102" t="n">
        <x:f>IF(J56="","",IF(MONTH($A56)=1,J56,J56-J55))</x:f>
        <x:v>542</x:v>
      </x:c>
      <x:c r="D56" s="102" t="n">
        <x:f>IF(K56="","",IF(MONTH($A56)=1,K56,K56-K55))</x:f>
        <x:v>5827</x:v>
      </x:c>
      <x:c r="E56" s="102" t="n">
        <x:f>IF(OR(G56="",H56=""),"",G56-H56)</x:f>
        <x:v>3552</x:v>
      </x:c>
      <x:c r="F56" s="102" t="n">
        <x:f>IF(COUNT(B56:D56)=0,"",SUM(B56:D56))</x:f>
        <x:v>8113</x:v>
      </x:c>
      <x:c r="G56" s="102" t="n">
        <x:f>IF(L56="","",IF(MONTH($A56)=1,L56,L56-L55))</x:f>
        <x:v>8113</x:v>
      </x:c>
      <x:c r="H56" s="102" t="n">
        <x:f>IF(M56="","",IF(MONTH($A56)=1,M56,M56-M55))</x:f>
        <x:v>4561</x:v>
      </x:c>
      <x:c r="I56" s="180" t="n">
        <x:f>IFERROR(INDEX(Sheet4!$E$5:$E$118,MATCH($A56,Sheet4!$A$5:$A$118,0)),"")</x:f>
        <x:v>13343</x:v>
      </x:c>
      <x:c r="J56" s="180" t="n">
        <x:f>IFERROR(INDEX(Sheet4!$F$5:$F$118,MATCH($A56,Sheet4!$A$5:$A$118,0)),"")</x:f>
        <x:v>3142</x:v>
      </x:c>
      <x:c r="K56" s="180" t="n">
        <x:f>IFERROR(INDEX(Sheet4!$G$5:$G$118,MATCH($A56,Sheet4!$A$5:$A$118,0)),"")</x:f>
        <x:v>22687</x:v>
      </x:c>
      <x:c r="L56" s="180" t="n">
        <x:f>IFERROR(INDEX(Sheet1!$K$5:$K$202,MATCH($A56,Sheet1!$A$5:$A$202,0)),"")</x:f>
        <x:v>39172</x:v>
      </x:c>
      <x:c r="M56" s="180" t="n">
        <x:f>IFERROR(INDEX(Sheet1!$L$5:$L$202,MATCH($A56,Sheet1!$A$5:$A$202,0)),"")</x:f>
        <x:v>11263</x:v>
      </x:c>
      <x:c r="N56" s="180" t="n">
        <x:f>IF(OR(F56="",G56=""),"",F56-G56)</x:f>
        <x:v>0</x:v>
      </x:c>
    </x:row>
    <x:row r="57">
      <x:c r="A57" s="107" t="n">
        <x:v>46173</x:v>
      </x:c>
      <x:c r="B57" s="102" t="n">
        <x:f>IF(I57="","",IF(MONTH($A57)=1,I57,I57-I56))</x:f>
        <x:v>1608</x:v>
      </x:c>
      <x:c r="C57" s="102" t="n">
        <x:f>IF(J57="","",IF(MONTH($A57)=1,J57,J57-J56))</x:f>
        <x:v>254</x:v>
      </x:c>
      <x:c r="D57" s="102" t="n">
        <x:f>IF(K57="","",IF(MONTH($A57)=1,K57,K57-K56))</x:f>
        <x:v>6185</x:v>
      </x:c>
      <x:c r="E57" s="102" t="n">
        <x:f>IF(OR(G57="",H57=""),"",G57-H57)</x:f>
        <x:v>5314</x:v>
      </x:c>
      <x:c r="F57" s="102" t="n">
        <x:f>IF(COUNT(B57:D57)=0,"",SUM(B57:D57))</x:f>
        <x:v>8047</x:v>
      </x:c>
      <x:c r="G57" s="102" t="n">
        <x:f>IF(L57="","",IF(MONTH($A57)=1,L57,L57-L56))</x:f>
        <x:v>8047</x:v>
      </x:c>
      <x:c r="H57" s="102" t="n">
        <x:f>IF(M57="","",IF(MONTH($A57)=1,M57,M57-M56))</x:f>
        <x:v>2733</x:v>
      </x:c>
      <x:c r="I57" s="180" t="n">
        <x:f>IFERROR(INDEX(Sheet4!$E$5:$E$118,MATCH($A57,Sheet4!$A$5:$A$118,0)),"")</x:f>
        <x:v>14951</x:v>
      </x:c>
      <x:c r="J57" s="180" t="n">
        <x:f>IFERROR(INDEX(Sheet4!$F$5:$F$118,MATCH($A57,Sheet4!$A$5:$A$118,0)),"")</x:f>
        <x:v>3396</x:v>
      </x:c>
      <x:c r="K57" s="180" t="n">
        <x:f>IFERROR(INDEX(Sheet4!$G$5:$G$118,MATCH($A57,Sheet4!$A$5:$A$118,0)),"")</x:f>
        <x:v>28872</x:v>
      </x:c>
      <x:c r="L57" s="180" t="n">
        <x:f>IFERROR(INDEX(Sheet1!$K$5:$K$202,MATCH($A57,Sheet1!$A$5:$A$202,0)),"")</x:f>
        <x:v>47219</x:v>
      </x:c>
      <x:c r="M57" s="180" t="n">
        <x:f>IFERROR(INDEX(Sheet1!$L$5:$L$202,MATCH($A57,Sheet1!$A$5:$A$202,0)),"")</x:f>
        <x:v>13996</x:v>
      </x:c>
      <x:c r="N57" s="180" t="n">
        <x:f>IF(OR(F57="",G57=""),"",F57-G57)</x:f>
        <x:v>0</x:v>
      </x:c>
    </x:row>
    <x:row r="58">
      <x:c r="A58" s="107" t="n">
        <x:v>46203</x:v>
      </x:c>
      <x:c r="B58" s="102" t="n">
        <x:f>IF(I58="","",IF(MONTH($A58)=1,I58,I58-I57))</x:f>
        <x:v>5716</x:v>
      </x:c>
      <x:c r="C58" s="102" t="n">
        <x:f>IF(J58="","",IF(MONTH($A58)=1,J58,J58-J57))</x:f>
        <x:v>412</x:v>
      </x:c>
      <x:c r="D58" s="102" t="n">
        <x:f>IF(K58="","",IF(MONTH($A58)=1,K58,K58-K57))</x:f>
        <x:v>5359</x:v>
      </x:c>
      <x:c r="E58" s="102" t="n">
        <x:f>IF(OR(G58="",H58=""),"",G58-H58)</x:f>
        <x:v>6251</x:v>
      </x:c>
      <x:c r="F58" s="102" t="n">
        <x:f>IF(COUNT(B58:D58)=0,"",SUM(B58:D58))</x:f>
        <x:v>11487</x:v>
      </x:c>
      <x:c r="G58" s="102" t="n">
        <x:f>IF(L58="","",IF(MONTH($A58)=1,L58,L58-L57))</x:f>
        <x:v>11487</x:v>
      </x:c>
      <x:c r="H58" s="102" t="n">
        <x:f>IF(M58="","",IF(MONTH($A58)=1,M58,M58-M57))</x:f>
        <x:v>5236</x:v>
      </x:c>
      <x:c r="I58" s="180" t="n">
        <x:f>IFERROR(INDEX(Sheet4!$E$5:$E$118,MATCH($A58,Sheet4!$A$5:$A$118,0)),"")</x:f>
        <x:v>20667</x:v>
      </x:c>
      <x:c r="J58" s="180" t="n">
        <x:f>IFERROR(INDEX(Sheet4!$F$5:$F$118,MATCH($A58,Sheet4!$A$5:$A$118,0)),"")</x:f>
        <x:v>3808</x:v>
      </x:c>
      <x:c r="K58" s="180" t="n">
        <x:f>IFERROR(INDEX(Sheet4!$G$5:$G$118,MATCH($A58,Sheet4!$A$5:$A$118,0)),"")</x:f>
        <x:v>34231</x:v>
      </x:c>
      <x:c r="L58" s="180" t="n">
        <x:f>IFERROR(INDEX(Sheet1!$K$5:$K$202,MATCH($A58,Sheet1!$A$5:$A$202,0)),"")</x:f>
        <x:v>58706</x:v>
      </x:c>
      <x:c r="M58" s="180" t="n">
        <x:f>IFERROR(INDEX(Sheet1!$L$5:$L$202,MATCH($A58,Sheet1!$A$5:$A$202,0)),"")</x:f>
        <x:v>19232</x:v>
      </x:c>
      <x:c r="N58" s="180" t="n">
        <x:f>IF(OR(F58="",G58=""),"",F58-G58)</x:f>
        <x:v>0</x:v>
      </x:c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</x:sheetData>
  <x:mergeCells>
    <x:mergeCell ref="A1:I1"/>
    <x:mergeCell ref="A2:I2"/>
    <x:mergeCell ref="A1:N1"/>
    <x:mergeCell ref="A2:N2"/>
  </x:mergeCells>
  <x:pageMargins left="0.7" right="0.7" top="0.75" bottom="0.75" header="0.3" footer="0.3"/>
  <x:drawing xmlns:r="http://schemas.openxmlformats.org/officeDocument/2006/relationships" r:id="R22f64bf36c80474d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166" t="str">
        <x:v>09 地方政府债务余额</x:v>
      </x:c>
      <x:c r="B1" s="166"/>
      <x:c r="C1" s="166"/>
      <x:c r="D1" s="166"/>
      <x:c r="E1" s="166"/>
      <x:c r="F1" s="166"/>
    </x:row>
    <x:row r="2" ht="44" customHeight="1">
      <x:c r="A2" s="168" t="str">
        <x:v>债务余额直接链接Wind底稿；同比 = 当月余额 / 上年同月余额 − 1。最新版HTML主图为“债务余额 + 同比”双轴折线，悬停同时显示债务余额/GDP；因此本表增加12M滚动GDP及余额/GDP两列用于核对。</x:v>
      </x:c>
      <x:c r="B2" s="168"/>
      <x:c r="C2" s="168"/>
      <x:c r="D2" s="168"/>
      <x:c r="E2" s="168"/>
      <x:c r="F2" s="168"/>
    </x:row>
    <x:row r="4" ht="28" customHeight="1">
      <x:c r="A4" s="173" t="str">
        <x:v>日期</x:v>
      </x:c>
      <x:c r="B4" s="173" t="str">
        <x:v>债务余额 (亿元)</x:v>
      </x:c>
      <x:c r="C4" s="173" t="str">
        <x:v>同比 (%)</x:v>
      </x:c>
      <x:c r="D4" s="173" t="str">
        <x:v>上年同月余额 (亿元)</x:v>
      </x:c>
      <x:c r="E4" s="173" t="str">
        <x:v>12M滚动GDP (亿元)</x:v>
      </x:c>
      <x:c r="F4" s="173" t="str">
        <x:v>债务余额/GDP (%)</x:v>
      </x:c>
    </x:row>
    <x:row r="5">
      <x:c r="A5" s="107" t="n">
        <x:v>44592</x:v>
      </x:c>
      <x:c r="B5" s="102" t="n">
        <x:f>IFERROR(INDEX(Sheet1!$M$5:$M$202,MATCH($A5,Sheet1!$A$5:$A$202,0)),"")</x:f>
        <x:v>311401</x:v>
      </x:c>
      <x:c r="C5" s="115" t="n">
        <x:f>IF(OR(B5="",D5="",D5=0),"",(B5/D5-1)*100)</x:f>
        <x:v>19.67387628358852</x:v>
      </x:c>
      <x:c r="D5" s="180" t="n">
        <x:f>IFERROR(INDEX(Sheet1!$M$5:$M$202,MATCH(EDATE($A5,-12),Sheet1!$A$5:$A$202,0)),"")</x:f>
        <x:v>260208</x:v>
      </x:c>
      <x:c r="E5" s="180" t="n">
        <x:f>IFERROR(INDEX('02_收支口径脉冲'!$I$5:$I$82,MATCH($A5,'02_收支口径脉冲'!$A$5:$A$82,0)),"")</x:f>
        <x:v>1181196.5333333334</x:v>
      </x:c>
      <x:c r="F5" s="179" t="n">
        <x:f>IF(OR(B5="",E5="",E5=0),"",B5/E5*100)</x:f>
        <x:v>26.363182689101468</x:v>
      </x:c>
    </x:row>
    <x:row r="6">
      <x:c r="A6" s="107" t="n">
        <x:v>44620</x:v>
      </x:c>
      <x:c r="B6" s="102" t="n">
        <x:f>IFERROR(INDEX(Sheet1!$M$5:$M$202,MATCH($A6,Sheet1!$A$5:$A$202,0)),"")</x:f>
        <x:v>316364</x:v>
      </x:c>
      <x:c r="C6" s="115" t="n">
        <x:f>IF(OR(B6="",D6="",D6=0),"",(B6/D6-1)*100)</x:f>
        <x:v>21.60082408923534</x:v>
      </x:c>
      <x:c r="D6" s="180" t="n">
        <x:f>IFERROR(INDEX(Sheet1!$M$5:$M$202,MATCH(EDATE($A6,-12),Sheet1!$A$5:$A$202,0)),"")</x:f>
        <x:v>260166</x:v>
      </x:c>
      <x:c r="E6" s="180" t="n">
        <x:f>IFERROR(INDEX('02_收支口径脉冲'!$I$5:$I$82,MATCH($A6,'02_收支口径脉冲'!$A$5:$A$82,0)),"")</x:f>
        <x:v>1188570.066666667</x:v>
      </x:c>
      <x:c r="F6" s="179" t="n">
        <x:f>IF(OR(B6="",E6="",E6=0),"",B6/E6*100)</x:f>
        <x:v>26.61719396040654</x:v>
      </x:c>
    </x:row>
    <x:row r="7">
      <x:c r="A7" s="107" t="n">
        <x:v>44651</x:v>
      </x:c>
      <x:c r="B7" s="102" t="n">
        <x:f>IFERROR(INDEX(Sheet1!$M$5:$M$202,MATCH($A7,Sheet1!$A$5:$A$202,0)),"")</x:f>
        <x:v>321396</x:v>
      </x:c>
      <x:c r="C7" s="115" t="n">
        <x:f>IF(OR(B7="",D7="",D7=0),"",(B7/D7-1)*100)</x:f>
        <x:v>22.645887075847536</x:v>
      </x:c>
      <x:c r="D7" s="180" t="n">
        <x:f>IFERROR(INDEX(Sheet1!$M$5:$M$202,MATCH(EDATE($A7,-12),Sheet1!$A$5:$A$202,0)),"")</x:f>
        <x:v>262052</x:v>
      </x:c>
      <x:c r="E7" s="180" t="n">
        <x:f>IFERROR(INDEX('02_收支口径脉冲'!$I$5:$I$82,MATCH($A7,'02_收支口径脉冲'!$A$5:$A$82,0)),"")</x:f>
        <x:v>1195943.6000000003</x:v>
      </x:c>
      <x:c r="F7" s="179" t="n">
        <x:f>IF(OR(B7="",E7="",E7=0),"",B7/E7*100)</x:f>
        <x:v>26.87384254575215</x:v>
      </x:c>
    </x:row>
    <x:row r="8">
      <x:c r="A8" s="107" t="n">
        <x:v>44681</x:v>
      </x:c>
      <x:c r="B8" s="102" t="n">
        <x:f>IFERROR(INDEX(Sheet1!$M$5:$M$202,MATCH($A8,Sheet1!$A$5:$A$202,0)),"")</x:f>
        <x:v>322871</x:v>
      </x:c>
      <x:c r="C8" s="115" t="n">
        <x:f>IF(OR(B8="",D8="",D8=0),"",(B8/D8-1)*100)</x:f>
        <x:v>21.358632121392084</x:v>
      </x:c>
      <x:c r="D8" s="180" t="n">
        <x:f>IFERROR(INDEX(Sheet1!$M$5:$M$202,MATCH(EDATE($A8,-12),Sheet1!$A$5:$A$202,0)),"")</x:f>
        <x:v>266047</x:v>
      </x:c>
      <x:c r="E8" s="180" t="n">
        <x:f>IFERROR(INDEX('02_收支口径脉冲'!$I$5:$I$82,MATCH($A8,'02_收支口径脉冲'!$A$5:$A$82,0)),"")</x:f>
        <x:v>1199654.3666666667</x:v>
      </x:c>
      <x:c r="F8" s="179" t="n">
        <x:f>IF(OR(B8="",E8="",E8=0),"",B8/E8*100)</x:f>
        <x:v>26.913668550811202</x:v>
      </x:c>
    </x:row>
    <x:row r="9">
      <x:c r="A9" s="107" t="n">
        <x:v>44712</x:v>
      </x:c>
      <x:c r="B9" s="102" t="n">
        <x:f>IFERROR(INDEX(Sheet1!$M$5:$M$202,MATCH($A9,Sheet1!$A$5:$A$202,0)),"")</x:f>
        <x:v>332509</x:v>
      </x:c>
      <x:c r="C9" s="115" t="n">
        <x:f>IF(OR(B9="",D9="",D9=0),"",(B9/D9-1)*100)</x:f>
        <x:v>22.281471456783407</x:v>
      </x:c>
      <x:c r="D9" s="180" t="n">
        <x:f>IFERROR(INDEX(Sheet1!$M$5:$M$202,MATCH(EDATE($A9,-12),Sheet1!$A$5:$A$202,0)),"")</x:f>
        <x:v>271921</x:v>
      </x:c>
      <x:c r="E9" s="180" t="n">
        <x:f>IFERROR(INDEX('02_收支口径脉冲'!$I$5:$I$82,MATCH($A9,'02_收支口径脉冲'!$A$5:$A$82,0)),"")</x:f>
        <x:v>1203365.1333333333</x:v>
      </x:c>
      <x:c r="F9" s="179" t="n">
        <x:f>IF(OR(B9="",E9="",E9=0),"",B9/E9*100)</x:f>
        <x:v>27.631596660852786</x:v>
      </x:c>
    </x:row>
    <x:row r="10">
      <x:c r="A10" s="107" t="n">
        <x:v>44742</x:v>
      </x:c>
      <x:c r="B10" s="102" t="n">
        <x:f>IFERROR(INDEX(Sheet1!$M$5:$M$202,MATCH($A10,Sheet1!$A$5:$A$202,0)),"")</x:f>
        <x:v>347503</x:v>
      </x:c>
      <x:c r="C10" s="115" t="n">
        <x:f>IF(OR(B10="",D10="",D10=0),"",(B10/D10-1)*100)</x:f>
        <x:v>25.97580560379047</x:v>
      </x:c>
      <x:c r="D10" s="180" t="n">
        <x:f>IFERROR(INDEX(Sheet1!$M$5:$M$202,MATCH(EDATE($A10,-12),Sheet1!$A$5:$A$202,0)),"")</x:f>
        <x:v>275849</x:v>
      </x:c>
      <x:c r="E10" s="180" t="n">
        <x:f>IFERROR(INDEX('02_收支口径脉冲'!$I$5:$I$82,MATCH($A10,'02_收支口径脉冲'!$A$5:$A$82,0)),"")</x:f>
        <x:v>1207075.9000000001</x:v>
      </x:c>
      <x:c r="F10" s="179" t="n">
        <x:f>IF(OR(B10="",E10="",E10=0),"",B10/E10*100)</x:f>
        <x:v>28.788827612248735</x:v>
      </x:c>
    </x:row>
    <x:row r="11">
      <x:c r="A11" s="107" t="n">
        <x:v>44773</x:v>
      </x:c>
      <x:c r="B11" s="102" t="n">
        <x:f>IFERROR(INDEX(Sheet1!$M$5:$M$202,MATCH($A11,Sheet1!$A$5:$A$202,0)),"")</x:f>
        <x:v>346646</x:v>
      </x:c>
      <x:c r="C11" s="115" t="n">
        <x:f>IF(OR(B11="",D11="",D11=0),"",(B11/D11-1)*100)</x:f>
        <x:v>23.84593123997414</x:v>
      </x:c>
      <x:c r="D11" s="180" t="n">
        <x:f>IFERROR(INDEX(Sheet1!$M$5:$M$202,MATCH(EDATE($A11,-12),Sheet1!$A$5:$A$202,0)),"")</x:f>
        <x:v>279901</x:v>
      </x:c>
      <x:c r="E11" s="180" t="n">
        <x:f>IFERROR(INDEX('02_收支口径脉冲'!$I$5:$I$82,MATCH($A11,'02_收支口径脉冲'!$A$5:$A$82,0)),"")</x:f>
        <x:v>1212888.4666666668</x:v>
      </x:c>
      <x:c r="F11" s="179" t="n">
        <x:f>IF(OR(B11="",E11="",E11=0),"",B11/E11*100)</x:f>
        <x:v>28.580204159470114</x:v>
      </x:c>
    </x:row>
    <x:row r="12">
      <x:c r="A12" s="107" t="n">
        <x:v>44804</x:v>
      </x:c>
      <x:c r="B12" s="102" t="n">
        <x:f>IFERROR(INDEX(Sheet1!$M$5:$M$202,MATCH($A12,Sheet1!$A$5:$A$202,0)),"")</x:f>
        <x:v>347838</x:v>
      </x:c>
      <x:c r="C12" s="115" t="n">
        <x:f>IF(OR(B12="",D12="",D12=0),"",(B12/D12-1)*100)</x:f>
        <x:v>22.16372646462801</x:v>
      </x:c>
      <x:c r="D12" s="180" t="n">
        <x:f>IFERROR(INDEX(Sheet1!$M$5:$M$202,MATCH(EDATE($A12,-12),Sheet1!$A$5:$A$202,0)),"")</x:f>
        <x:v>284731</x:v>
      </x:c>
      <x:c r="E12" s="180" t="n">
        <x:f>IFERROR(INDEX('02_收支口径脉冲'!$I$5:$I$82,MATCH($A12,'02_收支口径脉冲'!$A$5:$A$82,0)),"")</x:f>
        <x:v>1218701.0333333334</x:v>
      </x:c>
      <x:c r="F12" s="179" t="n">
        <x:f>IF(OR(B12="",E12="",E12=0),"",B12/E12*100)</x:f>
        <x:v>28.54170058825748</x:v>
      </x:c>
    </x:row>
    <x:row r="13">
      <x:c r="A13" s="107" t="n">
        <x:v>44834</x:v>
      </x:c>
      <x:c r="B13" s="102" t="n">
        <x:f>IFERROR(INDEX(Sheet1!$M$5:$M$202,MATCH($A13,Sheet1!$A$5:$A$202,0)),"")</x:f>
        <x:v>347124</x:v>
      </x:c>
      <x:c r="C13" s="115" t="n">
        <x:f>IF(OR(B13="",D13="",D13=0),"",(B13/D13-1)*100)</x:f>
        <x:v>19.869882313940003</x:v>
      </x:c>
      <x:c r="D13" s="180" t="n">
        <x:f>IFERROR(INDEX(Sheet1!$M$5:$M$202,MATCH(EDATE($A13,-12),Sheet1!$A$5:$A$202,0)),"")</x:f>
        <x:v>289584</x:v>
      </x:c>
      <x:c r="E13" s="180" t="n">
        <x:f>IFERROR(INDEX('02_收支口径脉冲'!$I$5:$I$82,MATCH($A13,'02_收支口径脉冲'!$A$5:$A$82,0)),"")</x:f>
        <x:v>1224513.6</x:v>
      </x:c>
      <x:c r="F13" s="179" t="n">
        <x:f>IF(OR(B13="",E13="",E13=0),"",B13/E13*100)</x:f>
        <x:v>28.34790891665066</x:v>
      </x:c>
    </x:row>
    <x:row r="14">
      <x:c r="A14" s="107" t="n">
        <x:v>44865</x:v>
      </x:c>
      <x:c r="B14" s="102" t="n">
        <x:f>IFERROR(INDEX(Sheet1!$M$5:$M$202,MATCH($A14,Sheet1!$A$5:$A$202,0)),"")</x:f>
        <x:v>351688</x:v>
      </x:c>
      <x:c r="C14" s="115" t="n">
        <x:f>IF(OR(B14="",D14="",D14=0),"",(B14/D14-1)*100)</x:f>
        <x:v>18.593554522186896</x:v>
      </x:c>
      <x:c r="D14" s="180" t="n">
        <x:f>IFERROR(INDEX(Sheet1!$M$5:$M$202,MATCH(EDATE($A14,-12),Sheet1!$A$5:$A$202,0)),"")</x:f>
        <x:v>296549</x:v>
      </x:c>
      <x:c r="E14" s="180" t="n">
        <x:f>IFERROR(INDEX('02_收支口径脉冲'!$I$5:$I$82,MATCH($A14,'02_收支口径脉冲'!$A$5:$A$82,0)),"")</x:f>
        <x:v>1227685.5</x:v>
      </x:c>
      <x:c r="F14" s="179" t="n">
        <x:f>IF(OR(B14="",E14="",E14=0),"",B14/E14*100)</x:f>
        <x:v>28.646424511815116</x:v>
      </x:c>
    </x:row>
    <x:row r="15">
      <x:c r="A15" s="107" t="n">
        <x:v>44895</x:v>
      </x:c>
      <x:c r="B15" s="102" t="n">
        <x:f>IFERROR(INDEX(Sheet1!$M$5:$M$202,MATCH($A15,Sheet1!$A$5:$A$202,0)),"")</x:f>
        <x:v>350364</x:v>
      </x:c>
      <x:c r="C15" s="115" t="n">
        <x:f>IF(OR(B15="",D15="",D15=0),"",(B15/D15-1)*100)</x:f>
        <x:v>16.02916923321478</x:v>
      </x:c>
      <x:c r="D15" s="180" t="n">
        <x:f>IFERROR(INDEX(Sheet1!$M$5:$M$202,MATCH(EDATE($A15,-12),Sheet1!$A$5:$A$202,0)),"")</x:f>
        <x:v>301962</x:v>
      </x:c>
      <x:c r="E15" s="180" t="n">
        <x:f>IFERROR(INDEX('02_收支口径脉冲'!$I$5:$I$82,MATCH($A15,'02_收支口径脉冲'!$A$5:$A$82,0)),"")</x:f>
        <x:v>1230857.4</x:v>
      </x:c>
      <x:c r="F15" s="179" t="n">
        <x:f>IF(OR(B15="",E15="",E15=0),"",B15/E15*100)</x:f>
        <x:v>28.4650358359953</x:v>
      </x:c>
    </x:row>
    <x:row r="16">
      <x:c r="A16" s="107" t="n">
        <x:v>44926</x:v>
      </x:c>
      <x:c r="B16" s="102" t="n">
        <x:f>IFERROR(INDEX(Sheet1!$M$5:$M$202,MATCH($A16,Sheet1!$A$5:$A$202,0)),"")</x:f>
        <x:v>350618</x:v>
      </x:c>
      <x:c r="C16" s="115" t="n">
        <x:f>IF(OR(B16="",D16="",D16=0),"",(B16/D16-1)*100)</x:f>
        <x:v>15.069904824417456</x:v>
      </x:c>
      <x:c r="D16" s="180" t="n">
        <x:f>IFERROR(INDEX(Sheet1!$M$5:$M$202,MATCH(EDATE($A16,-12),Sheet1!$A$5:$A$202,0)),"")</x:f>
        <x:v>304700</x:v>
      </x:c>
      <x:c r="E16" s="180" t="n">
        <x:f>IFERROR(INDEX('02_收支口径脉冲'!$I$5:$I$82,MATCH($A16,'02_收支口径脉冲'!$A$5:$A$82,0)),"")</x:f>
        <x:v>1234029.2999999998</x:v>
      </x:c>
      <x:c r="F16" s="179" t="n">
        <x:f>IF(OR(B16="",E16="",E16=0),"",B16/E16*100)</x:f>
        <x:v>28.41245341581436</x:v>
      </x:c>
    </x:row>
    <x:row r="17">
      <x:c r="A17" s="107" t="n">
        <x:v>44957</x:v>
      </x:c>
      <x:c r="B17" s="102" t="n">
        <x:f>IFERROR(INDEX(Sheet1!$M$5:$M$202,MATCH($A17,Sheet1!$A$5:$A$202,0)),"")</x:f>
        <x:v>357018</x:v>
      </x:c>
      <x:c r="C17" s="115" t="n">
        <x:f>IF(OR(B17="",D17="",D17=0),"",(B17/D17-1)*100)</x:f>
        <x:v>14.64895745357273</x:v>
      </x:c>
      <x:c r="D17" s="180" t="n">
        <x:f>IFERROR(INDEX(Sheet1!$M$5:$M$202,MATCH(EDATE($A17,-12),Sheet1!$A$5:$A$202,0)),"")</x:f>
        <x:v>311401</x:v>
      </x:c>
      <x:c r="E17" s="180" t="n">
        <x:f>IFERROR(INDEX('02_收支口径脉冲'!$I$5:$I$82,MATCH($A17,'02_收支口径脉冲'!$A$5:$A$82,0)),"")</x:f>
        <x:v>1239093.633333333</x:v>
      </x:c>
      <x:c r="F17" s="179" t="n">
        <x:f>IF(OR(B17="",E17="",E17=0),"",B17/E17*100)</x:f>
        <x:v>28.812834671708565</x:v>
      </x:c>
    </x:row>
    <x:row r="18">
      <x:c r="A18" s="107" t="n">
        <x:v>44985</x:v>
      </x:c>
      <x:c r="B18" s="102" t="n">
        <x:f>IFERROR(INDEX(Sheet1!$M$5:$M$202,MATCH($A18,Sheet1!$A$5:$A$202,0)),"")</x:f>
        <x:v>362269</x:v>
      </x:c>
      <x:c r="C18" s="115" t="n">
        <x:f>IF(OR(B18="",D18="",D18=0),"",(B18/D18-1)*100)</x:f>
        <x:v>14.510184471052323</x:v>
      </x:c>
      <x:c r="D18" s="180" t="n">
        <x:f>IFERROR(INDEX(Sheet1!$M$5:$M$202,MATCH(EDATE($A18,-12),Sheet1!$A$5:$A$202,0)),"")</x:f>
        <x:v>316364</x:v>
      </x:c>
      <x:c r="E18" s="180" t="n">
        <x:f>IFERROR(INDEX('02_收支口径脉冲'!$I$5:$I$82,MATCH($A18,'02_收支口径脉冲'!$A$5:$A$82,0)),"")</x:f>
        <x:v>1244157.9666666663</x:v>
      </x:c>
      <x:c r="F18" s="179" t="n">
        <x:f>IF(OR(B18="",E18="",E18=0),"",B18/E18*100)</x:f>
        <x:v>29.117604814329724</x:v>
      </x:c>
    </x:row>
    <x:row r="19">
      <x:c r="A19" s="107" t="n">
        <x:v>45016</x:v>
      </x:c>
      <x:c r="B19" s="102" t="n">
        <x:f>IFERROR(INDEX(Sheet1!$M$5:$M$202,MATCH($A19,Sheet1!$A$5:$A$202,0)),"")</x:f>
        <x:v>368091</x:v>
      </x:c>
      <x:c r="C19" s="115" t="n">
        <x:f>IF(OR(B19="",D19="",D19=0),"",(B19/D19-1)*100)</x:f>
        <x:v>14.528805585632675</x:v>
      </x:c>
      <x:c r="D19" s="180" t="n">
        <x:f>IFERROR(INDEX(Sheet1!$M$5:$M$202,MATCH(EDATE($A19,-12),Sheet1!$A$5:$A$202,0)),"")</x:f>
        <x:v>321396</x:v>
      </x:c>
      <x:c r="E19" s="180" t="n">
        <x:f>IFERROR(INDEX('02_收支口径脉冲'!$I$5:$I$82,MATCH($A19,'02_收支口径脉冲'!$A$5:$A$82,0)),"")</x:f>
        <x:v>1249222.2999999998</x:v>
      </x:c>
      <x:c r="F19" s="179" t="n">
        <x:f>IF(OR(B19="",E19="",E19=0),"",B19/E19*100)</x:f>
        <x:v>29.465612325364354</x:v>
      </x:c>
    </x:row>
    <x:row r="20">
      <x:c r="A20" s="107" t="n">
        <x:v>45046</x:v>
      </x:c>
      <x:c r="B20" s="102" t="n">
        <x:f>IFERROR(INDEX(Sheet1!$M$5:$M$202,MATCH($A20,Sheet1!$A$5:$A$202,0)),"")</x:f>
        <x:v>370527</x:v>
      </x:c>
      <x:c r="C20" s="115" t="n">
        <x:f>IF(OR(B20="",D20="",D20=0),"",(B20/D20-1)*100)</x:f>
        <x:v>14.760074456981265</x:v>
      </x:c>
      <x:c r="D20" s="180" t="n">
        <x:f>IFERROR(INDEX(Sheet1!$M$5:$M$202,MATCH(EDATE($A20,-12),Sheet1!$A$5:$A$202,0)),"")</x:f>
        <x:v>322871</x:v>
      </x:c>
      <x:c r="E20" s="180" t="n">
        <x:f>IFERROR(INDEX('02_收支口径脉冲'!$I$5:$I$82,MATCH($A20,'02_收支口径脉冲'!$A$5:$A$82,0)),"")</x:f>
        <x:v>1254930.9666666666</x:v>
      </x:c>
      <x:c r="F20" s="179" t="n">
        <x:f>IF(OR(B20="",E20="",E20=0),"",B20/E20*100)</x:f>
        <x:v>29.52568785390559</x:v>
      </x:c>
    </x:row>
    <x:row r="21">
      <x:c r="A21" s="107" t="n">
        <x:v>45077</x:v>
      </x:c>
      <x:c r="B21" s="102" t="n">
        <x:f>IFERROR(INDEX(Sheet1!$M$5:$M$202,MATCH($A21,Sheet1!$A$5:$A$202,0)),"")</x:f>
        <x:v>375579</x:v>
      </x:c>
      <x:c r="C21" s="115" t="n">
        <x:f>IF(OR(B21="",D21="",D21=0),"",(B21/D21-1)*100)</x:f>
        <x:v>12.953032850238632</x:v>
      </x:c>
      <x:c r="D21" s="180" t="n">
        <x:f>IFERROR(INDEX(Sheet1!$M$5:$M$202,MATCH(EDATE($A21,-12),Sheet1!$A$5:$A$202,0)),"")</x:f>
        <x:v>332509</x:v>
      </x:c>
      <x:c r="E21" s="180" t="n">
        <x:f>IFERROR(INDEX('02_收支口径脉冲'!$I$5:$I$82,MATCH($A21,'02_收支口径脉冲'!$A$5:$A$82,0)),"")</x:f>
        <x:v>1260639.633333333</x:v>
      </x:c>
      <x:c r="F21" s="179" t="n">
        <x:f>IF(OR(B21="",E21="",E21=0),"",B21/E21*100)</x:f>
        <x:v>29.79273299594024</x:v>
      </x:c>
    </x:row>
    <x:row r="22">
      <x:c r="A22" s="107" t="n">
        <x:v>45107</x:v>
      </x:c>
      <x:c r="B22" s="102" t="n">
        <x:f>IFERROR(INDEX(Sheet1!$M$5:$M$202,MATCH($A22,Sheet1!$A$5:$A$202,0)),"")</x:f>
        <x:v>377999</x:v>
      </x:c>
      <x:c r="C22" s="115" t="n">
        <x:f>IF(OR(B22="",D22="",D22=0),"",(B22/D22-1)*100)</x:f>
        <x:v>8.775751576245394</x:v>
      </x:c>
      <x:c r="D22" s="180" t="n">
        <x:f>IFERROR(INDEX(Sheet1!$M$5:$M$202,MATCH(EDATE($A22,-12),Sheet1!$A$5:$A$202,0)),"")</x:f>
        <x:v>347503</x:v>
      </x:c>
      <x:c r="E22" s="180" t="n">
        <x:f>IFERROR(INDEX('02_收支口径脉冲'!$I$5:$I$82,MATCH($A22,'02_收支口径脉冲'!$A$5:$A$82,0)),"")</x:f>
        <x:v>1266348.2999999998</x:v>
      </x:c>
      <x:c r="F22" s="179" t="n">
        <x:f>IF(OR(B22="",E22="",E22=0),"",B22/E22*100)</x:f>
        <x:v>29.849528759188924</x:v>
      </x:c>
    </x:row>
    <x:row r="23">
      <x:c r="A23" s="107" t="n">
        <x:v>45138</x:v>
      </x:c>
      <x:c r="B23" s="102" t="n">
        <x:f>IFERROR(INDEX(Sheet1!$M$5:$M$202,MATCH($A23,Sheet1!$A$5:$A$202,0)),"")</x:f>
        <x:v>380234</x:v>
      </x:c>
      <x:c r="C23" s="115" t="n">
        <x:f>IF(OR(B23="",D23="",D23=0),"",(B23/D23-1)*100)</x:f>
        <x:v>9.68942379257225</x:v>
      </x:c>
      <x:c r="D23" s="180" t="n">
        <x:f>IFERROR(INDEX(Sheet1!$M$5:$M$202,MATCH(EDATE($A23,-12),Sheet1!$A$5:$A$202,0)),"")</x:f>
        <x:v>346646</x:v>
      </x:c>
      <x:c r="E23" s="180" t="n">
        <x:f>IFERROR(INDEX('02_收支口径脉冲'!$I$5:$I$82,MATCH($A23,'02_收支口径脉冲'!$A$5:$A$82,0)),"")</x:f>
        <x:v>1270695.3333333333</x:v>
      </x:c>
      <x:c r="F23" s="179" t="n">
        <x:f>IF(OR(B23="",E23="",E23=0),"",B23/E23*100)</x:f>
        <x:v>29.923301835268145</x:v>
      </x:c>
    </x:row>
    <x:row r="24">
      <x:c r="A24" s="107" t="n">
        <x:v>45169</x:v>
      </x:c>
      <x:c r="B24" s="102" t="n">
        <x:f>IFERROR(INDEX(Sheet1!$M$5:$M$202,MATCH($A24,Sheet1!$A$5:$A$202,0)),"")</x:f>
        <x:v>387480</x:v>
      </x:c>
      <x:c r="C24" s="115" t="n">
        <x:f>IF(OR(B24="",D24="",D24=0),"",(B24/D24-1)*100)</x:f>
        <x:v>11.396684663550282</x:v>
      </x:c>
      <x:c r="D24" s="180" t="n">
        <x:f>IFERROR(INDEX(Sheet1!$M$5:$M$202,MATCH(EDATE($A24,-12),Sheet1!$A$5:$A$202,0)),"")</x:f>
        <x:v>347838</x:v>
      </x:c>
      <x:c r="E24" s="180" t="n">
        <x:f>IFERROR(INDEX('02_收支口径脉冲'!$I$5:$I$82,MATCH($A24,'02_收支口径脉冲'!$A$5:$A$82,0)),"")</x:f>
        <x:v>1275042.3666666667</x:v>
      </x:c>
      <x:c r="F24" s="179" t="n">
        <x:f>IF(OR(B24="",E24="",E24=0),"",B24/E24*100)</x:f>
        <x:v>30.389578427341668</x:v>
      </x:c>
    </x:row>
    <x:row r="25">
      <x:c r="A25" s="107" t="n">
        <x:v>45199</x:v>
      </x:c>
      <x:c r="B25" s="102" t="n">
        <x:f>IFERROR(INDEX(Sheet1!$M$5:$M$202,MATCH($A25,Sheet1!$A$5:$A$202,0)),"")</x:f>
        <x:v>388996</x:v>
      </x:c>
      <x:c r="C25" s="115" t="n">
        <x:f>IF(OR(B25="",D25="",D25=0),"",(B25/D25-1)*100)</x:f>
        <x:v>12.062548253649986</x:v>
      </x:c>
      <x:c r="D25" s="180" t="n">
        <x:f>IFERROR(INDEX(Sheet1!$M$5:$M$202,MATCH(EDATE($A25,-12),Sheet1!$A$5:$A$202,0)),"")</x:f>
        <x:v>347124</x:v>
      </x:c>
      <x:c r="E25" s="180" t="n">
        <x:f>IFERROR(INDEX('02_收支口径脉冲'!$I$5:$I$82,MATCH($A25,'02_收支口径脉冲'!$A$5:$A$82,0)),"")</x:f>
        <x:v>1279389.4000000001</x:v>
      </x:c>
      <x:c r="F25" s="179" t="n">
        <x:f>IF(OR(B25="",E25="",E25=0),"",B25/E25*100)</x:f>
        <x:v>30.404816547643737</x:v>
      </x:c>
    </x:row>
    <x:row r="26">
      <x:c r="A26" s="107" t="n">
        <x:v>45230</x:v>
      </x:c>
      <x:c r="B26" s="102" t="n">
        <x:f>IFERROR(INDEX(Sheet1!$M$5:$M$202,MATCH($A26,Sheet1!$A$5:$A$202,0)),"")</x:f>
        <x:v>401011</x:v>
      </x:c>
      <x:c r="C26" s="115" t="n">
        <x:f>IF(OR(B26="",D26="",D26=0),"",(B26/D26-1)*100)</x:f>
        <x:v>14.024646846068102</x:v>
      </x:c>
      <x:c r="D26" s="180" t="n">
        <x:f>IFERROR(INDEX(Sheet1!$M$5:$M$202,MATCH(EDATE($A26,-12),Sheet1!$A$5:$A$202,0)),"")</x:f>
        <x:v>351688</x:v>
      </x:c>
      <x:c r="E26" s="180" t="n">
        <x:f>IFERROR(INDEX('02_收支口径脉冲'!$I$5:$I$82,MATCH($A26,'02_收支口径脉冲'!$A$5:$A$82,0)),"")</x:f>
        <x:v>1284350.2000000002</x:v>
      </x:c>
      <x:c r="F26" s="179" t="n">
        <x:f>IF(OR(B26="",E26="",E26=0),"",B26/E26*100)</x:f>
        <x:v>31.222870522385556</x:v>
      </x:c>
    </x:row>
    <x:row r="27">
      <x:c r="A27" s="107" t="n">
        <x:v>45260</x:v>
      </x:c>
      <x:c r="B27" s="102" t="n">
        <x:f>IFERROR(INDEX(Sheet1!$M$5:$M$202,MATCH($A27,Sheet1!$A$5:$A$202,0)),"")</x:f>
        <x:v>406386</x:v>
      </x:c>
      <x:c r="C27" s="115" t="n">
        <x:f>IF(OR(B27="",D27="",D27=0),"",(B27/D27-1)*100)</x:f>
        <x:v>15.989656471555303</x:v>
      </x:c>
      <x:c r="D27" s="180" t="n">
        <x:f>IFERROR(INDEX(Sheet1!$M$5:$M$202,MATCH(EDATE($A27,-12),Sheet1!$A$5:$A$202,0)),"")</x:f>
        <x:v>350364</x:v>
      </x:c>
      <x:c r="E27" s="180" t="n">
        <x:f>IFERROR(INDEX('02_收支口径脉冲'!$I$5:$I$82,MATCH($A27,'02_收支口径脉冲'!$A$5:$A$82,0)),"")</x:f>
        <x:v>1289311.0000000002</x:v>
      </x:c>
      <x:c r="F27" s="179" t="n">
        <x:f>IF(OR(B27="",E27="",E27=0),"",B27/E27*100)</x:f>
        <x:v>31.519625598478562</x:v>
      </x:c>
    </x:row>
    <x:row r="28">
      <x:c r="A28" s="107" t="n">
        <x:v>45291</x:v>
      </x:c>
      <x:c r="B28" s="102" t="n">
        <x:f>IFERROR(INDEX(Sheet1!$M$5:$M$202,MATCH($A28,Sheet1!$A$5:$A$202,0)),"")</x:f>
        <x:v>407373</x:v>
      </x:c>
      <x:c r="C28" s="115" t="n">
        <x:f>IF(OR(B28="",D28="",D28=0),"",(B28/D28-1)*100)</x:f>
        <x:v>16.187132434729534</x:v>
      </x:c>
      <x:c r="D28" s="180" t="n">
        <x:f>IFERROR(INDEX(Sheet1!$M$5:$M$202,MATCH(EDATE($A28,-12),Sheet1!$A$5:$A$202,0)),"")</x:f>
        <x:v>350618</x:v>
      </x:c>
      <x:c r="E28" s="180" t="n">
        <x:f>IFERROR(INDEX('02_收支口径脉冲'!$I$5:$I$82,MATCH($A28,'02_收支口径脉冲'!$A$5:$A$82,0)),"")</x:f>
        <x:v>1294271.8000000003</x:v>
      </x:c>
      <x:c r="F28" s="179" t="n">
        <x:f>IF(OR(B28="",E28="",E28=0),"",B28/E28*100)</x:f>
        <x:v>31.475073473747933</x:v>
      </x:c>
    </x:row>
    <x:row r="29">
      <x:c r="A29" s="107" t="n">
        <x:v>45322</x:v>
      </x:c>
      <x:c r="B29" s="102" t="n">
        <x:f>IFERROR(INDEX(Sheet1!$M$5:$M$202,MATCH($A29,Sheet1!$A$5:$A$202,0)),"")</x:f>
        <x:v>409959</x:v>
      </x:c>
      <x:c r="C29" s="115" t="n">
        <x:f>IF(OR(B29="",D29="",D29=0),"",(B29/D29-1)*100)</x:f>
        <x:v>14.828664100969702</x:v>
      </x:c>
      <x:c r="D29" s="180" t="n">
        <x:f>IFERROR(INDEX(Sheet1!$M$5:$M$202,MATCH(EDATE($A29,-12),Sheet1!$A$5:$A$202,0)),"")</x:f>
        <x:v>357018</x:v>
      </x:c>
      <x:c r="E29" s="180" t="n">
        <x:f>IFERROR(INDEX('02_收支口径脉冲'!$I$5:$I$82,MATCH($A29,'02_收支口径脉冲'!$A$5:$A$82,0)),"")</x:f>
        <x:v>1298323.9333333333</x:v>
      </x:c>
      <x:c r="F29" s="179" t="n">
        <x:f>IF(OR(B29="",E29="",E29=0),"",B29/E29*100)</x:f>
        <x:v>31.57601808567651</x:v>
      </x:c>
    </x:row>
    <x:row r="30">
      <x:c r="A30" s="107" t="n">
        <x:v>45351</x:v>
      </x:c>
      <x:c r="B30" s="102" t="n">
        <x:f>IFERROR(INDEX(Sheet1!$M$5:$M$202,MATCH($A30,Sheet1!$A$5:$A$202,0)),"")</x:f>
        <x:v>414092</x:v>
      </x:c>
      <x:c r="C30" s="115" t="n">
        <x:f>IF(OR(B30="",D30="",D30=0),"",(B30/D30-1)*100)</x:f>
        <x:v>14.305115811731062</x:v>
      </x:c>
      <x:c r="D30" s="180" t="n">
        <x:f>IFERROR(INDEX(Sheet1!$M$5:$M$202,MATCH(EDATE($A30,-12),Sheet1!$A$5:$A$202,0)),"")</x:f>
        <x:v>362269</x:v>
      </x:c>
      <x:c r="E30" s="180" t="n">
        <x:f>IFERROR(INDEX('02_收支口径脉冲'!$I$5:$I$82,MATCH($A30,'02_收支口径脉冲'!$A$5:$A$82,0)),"")</x:f>
        <x:v>1302376.0666666667</x:v>
      </x:c>
      <x:c r="F30" s="179" t="n">
        <x:f>IF(OR(B30="",E30="",E30=0),"",B30/E30*100)</x:f>
        <x:v>31.79511744713163</x:v>
      </x:c>
    </x:row>
    <x:row r="31">
      <x:c r="A31" s="107" t="n">
        <x:v>45382</x:v>
      </x:c>
      <x:c r="B31" s="102" t="n">
        <x:f>IFERROR(INDEX(Sheet1!$M$5:$M$202,MATCH($A31,Sheet1!$A$5:$A$202,0)),"")</x:f>
        <x:v>416940</x:v>
      </x:c>
      <x:c r="C31" s="115" t="n">
        <x:f>IF(OR(B31="",D31="",D31=0),"",(B31/D31-1)*100)</x:f>
        <x:v>13.270903119065668</x:v>
      </x:c>
      <x:c r="D31" s="180" t="n">
        <x:f>IFERROR(INDEX(Sheet1!$M$5:$M$202,MATCH(EDATE($A31,-12),Sheet1!$A$5:$A$202,0)),"")</x:f>
        <x:v>368091</x:v>
      </x:c>
      <x:c r="E31" s="180" t="n">
        <x:f>IFERROR(INDEX('02_收支口径脉冲'!$I$5:$I$82,MATCH($A31,'02_收支口径脉冲'!$A$5:$A$82,0)),"")</x:f>
        <x:v>1306428.1999999997</x:v>
      </x:c>
      <x:c r="F31" s="179" t="n">
        <x:f>IF(OR(B31="",E31="",E31=0),"",B31/E31*100)</x:f>
        <x:v>31.91449786524817</x:v>
      </x:c>
    </x:row>
    <x:row r="32">
      <x:c r="A32" s="107" t="n">
        <x:v>45412</x:v>
      </x:c>
      <x:c r="B32" s="102" t="n">
        <x:f>IFERROR(INDEX(Sheet1!$M$5:$M$202,MATCH($A32,Sheet1!$A$5:$A$202,0)),"")</x:f>
        <x:v>417489</x:v>
      </x:c>
      <x:c r="C32" s="115" t="n">
        <x:f>IF(OR(B32="",D32="",D32=0),"",(B32/D32-1)*100)</x:f>
        <x:v>12.674380004696006</x:v>
      </x:c>
      <x:c r="D32" s="180" t="n">
        <x:f>IFERROR(INDEX(Sheet1!$M$5:$M$202,MATCH(EDATE($A32,-12),Sheet1!$A$5:$A$202,0)),"")</x:f>
        <x:v>370527</x:v>
      </x:c>
      <x:c r="E32" s="180" t="n">
        <x:f>IFERROR(INDEX('02_收支口径脉冲'!$I$5:$I$82,MATCH($A32,'02_收支口径脉冲'!$A$5:$A$82,0)),"")</x:f>
        <x:v>1310544.1666666665</x:v>
      </x:c>
      <x:c r="F32" s="179" t="n">
        <x:f>IF(OR(B32="",E32="",E32=0),"",B32/E32*100)</x:f>
        <x:v>31.856156443919925</x:v>
      </x:c>
    </x:row>
    <x:row r="33">
      <x:c r="A33" s="107" t="n">
        <x:v>45443</x:v>
      </x:c>
      <x:c r="B33" s="102" t="n">
        <x:f>IFERROR(INDEX(Sheet1!$M$5:$M$202,MATCH($A33,Sheet1!$A$5:$A$202,0)),"")</x:f>
        <x:v>423838</x:v>
      </x:c>
      <x:c r="C33" s="115" t="n">
        <x:f>IF(OR(B33="",D33="",D33=0),"",(B33/D33-1)*100)</x:f>
        <x:v>12.849227459469237</x:v>
      </x:c>
      <x:c r="D33" s="180" t="n">
        <x:f>IFERROR(INDEX(Sheet1!$M$5:$M$202,MATCH(EDATE($A33,-12),Sheet1!$A$5:$A$202,0)),"")</x:f>
        <x:v>375579</x:v>
      </x:c>
      <x:c r="E33" s="180" t="n">
        <x:f>IFERROR(INDEX('02_收支口径脉冲'!$I$5:$I$82,MATCH($A33,'02_收支口径脉冲'!$A$5:$A$82,0)),"")</x:f>
        <x:v>1314660.1333333333</x:v>
      </x:c>
      <x:c r="F33" s="179" t="n">
        <x:f>IF(OR(B33="",E33="",E33=0),"",B33/E33*100)</x:f>
        <x:v>32.239358998842896</x:v>
      </x:c>
    </x:row>
    <x:row r="34">
      <x:c r="A34" s="107" t="n">
        <x:v>45473</x:v>
      </x:c>
      <x:c r="B34" s="102" t="n">
        <x:f>IFERROR(INDEX(Sheet1!$M$5:$M$202,MATCH($A34,Sheet1!$A$5:$A$202,0)),"")</x:f>
        <x:v>426098</x:v>
      </x:c>
      <x:c r="C34" s="115" t="n">
        <x:f>IF(OR(B34="",D34="",D34=0),"",(B34/D34-1)*100)</x:f>
        <x:v>12.724636837663583</x:v>
      </x:c>
      <x:c r="D34" s="180" t="n">
        <x:f>IFERROR(INDEX(Sheet1!$M$5:$M$202,MATCH(EDATE($A34,-12),Sheet1!$A$5:$A$202,0)),"")</x:f>
        <x:v>377999</x:v>
      </x:c>
      <x:c r="E34" s="180" t="n">
        <x:f>IFERROR(INDEX('02_收支口径脉冲'!$I$5:$I$82,MATCH($A34,'02_收支口径脉冲'!$A$5:$A$82,0)),"")</x:f>
        <x:v>1318776.1</x:v>
      </x:c>
      <x:c r="F34" s="179" t="n">
        <x:f>IF(OR(B34="",E34="",E34=0),"",B34/E34*100)</x:f>
        <x:v>32.310109350632</x:v>
      </x:c>
    </x:row>
    <x:row r="35">
      <x:c r="A35" s="107" t="n">
        <x:v>45504</x:v>
      </x:c>
      <x:c r="B35" s="102" t="n">
        <x:f>IFERROR(INDEX(Sheet1!$M$5:$M$202,MATCH($A35,Sheet1!$A$5:$A$202,0)),"")</x:f>
        <x:v>428009</x:v>
      </x:c>
      <x:c r="C35" s="115" t="n">
        <x:f>IF(OR(B35="",D35="",D35=0),"",(B35/D35-1)*100)</x:f>
        <x:v>12.564631253386072</x:v>
      </x:c>
      <x:c r="D35" s="180" t="n">
        <x:f>IFERROR(INDEX(Sheet1!$M$5:$M$202,MATCH(EDATE($A35,-12),Sheet1!$A$5:$A$202,0)),"")</x:f>
        <x:v>380234</x:v>
      </x:c>
      <x:c r="E35" s="180" t="n">
        <x:f>IFERROR(INDEX('02_收支口径脉冲'!$I$5:$I$82,MATCH($A35,'02_收支口径脉冲'!$A$5:$A$82,0)),"")</x:f>
        <x:v>1323110.2666666666</x:v>
      </x:c>
      <x:c r="F35" s="179" t="n">
        <x:f>IF(OR(B35="",E35="",E35=0),"",B35/E35*100)</x:f>
        <x:v>32.348702204411886</x:v>
      </x:c>
    </x:row>
    <x:row r="36">
      <x:c r="A36" s="107" t="n">
        <x:v>45535</x:v>
      </x:c>
      <x:c r="B36" s="102" t="n">
        <x:f>IFERROR(INDEX(Sheet1!$M$5:$M$202,MATCH($A36,Sheet1!$A$5:$A$202,0)),"")</x:f>
        <x:v>436297</x:v>
      </x:c>
      <x:c r="C36" s="115" t="n">
        <x:f>IF(OR(B36="",D36="",D36=0),"",(B36/D36-1)*100)</x:f>
        <x:v>12.598585733457202</x:v>
      </x:c>
      <x:c r="D36" s="180" t="n">
        <x:f>IFERROR(INDEX(Sheet1!$M$5:$M$202,MATCH(EDATE($A36,-12),Sheet1!$A$5:$A$202,0)),"")</x:f>
        <x:v>387480</x:v>
      </x:c>
      <x:c r="E36" s="180" t="n">
        <x:f>IFERROR(INDEX('02_收支口径脉冲'!$I$5:$I$82,MATCH($A36,'02_收支口径脉冲'!$A$5:$A$82,0)),"")</x:f>
        <x:v>1327444.433333333</x:v>
      </x:c>
      <x:c r="F36" s="179" t="n">
        <x:f>IF(OR(B36="",E36="",E36=0),"",B36/E36*100)</x:f>
        <x:v>32.86743979967724</x:v>
      </x:c>
    </x:row>
    <x:row r="37">
      <x:c r="A37" s="107" t="n">
        <x:v>45565</x:v>
      </x:c>
      <x:c r="B37" s="102" t="n">
        <x:f>IFERROR(INDEX(Sheet1!$M$5:$M$202,MATCH($A37,Sheet1!$A$5:$A$202,0)),"")</x:f>
        <x:v>447403</x:v>
      </x:c>
      <x:c r="C37" s="115" t="n">
        <x:f>IF(OR(B37="",D37="",D37=0),"",(B37/D37-1)*100)</x:f>
        <x:v>15.014807350204107</x:v>
      </x:c>
      <x:c r="D37" s="180" t="n">
        <x:f>IFERROR(INDEX(Sheet1!$M$5:$M$202,MATCH(EDATE($A37,-12),Sheet1!$A$5:$A$202,0)),"")</x:f>
        <x:v>388996</x:v>
      </x:c>
      <x:c r="E37" s="180" t="n">
        <x:f>IFERROR(INDEX('02_收支口径脉冲'!$I$5:$I$82,MATCH($A37,'02_收支口径脉冲'!$A$5:$A$82,0)),"")</x:f>
        <x:v>1331778.5999999999</x:v>
      </x:c>
      <x:c r="F37" s="179" t="n">
        <x:f>IF(OR(B37="",E37="",E37=0),"",B37/E37*100)</x:f>
        <x:v>33.594397747493474</x:v>
      </x:c>
    </x:row>
    <x:row r="38">
      <x:c r="A38" s="107" t="n">
        <x:v>45596</x:v>
      </x:c>
      <x:c r="B38" s="102" t="n">
        <x:f>IFERROR(INDEX(Sheet1!$M$5:$M$202,MATCH($A38,Sheet1!$A$5:$A$202,0)),"")</x:f>
        <x:v>453160</x:v>
      </x:c>
      <x:c r="C38" s="115" t="n">
        <x:f>IF(OR(B38="",D38="",D38=0),"",(B38/D38-1)*100)</x:f>
        <x:v>13.004381425945933</x:v>
      </x:c>
      <x:c r="D38" s="180" t="n">
        <x:f>IFERROR(INDEX(Sheet1!$M$5:$M$202,MATCH(EDATE($A38,-12),Sheet1!$A$5:$A$202,0)),"")</x:f>
        <x:v>401011</x:v>
      </x:c>
      <x:c r="E38" s="180" t="n">
        <x:f>IFERROR(INDEX('02_收支口径脉冲'!$I$5:$I$82,MATCH($A38,'02_收支口径脉冲'!$A$5:$A$82,0)),"")</x:f>
        <x:v>1337207.7999999998</x:v>
      </x:c>
      <x:c r="F38" s="179" t="n">
        <x:f>IF(OR(B38="",E38="",E38=0),"",B38/E38*100)</x:f>
        <x:v>33.88852502954291</x:v>
      </x:c>
    </x:row>
    <x:row r="39">
      <x:c r="A39" s="107" t="n">
        <x:v>45626</x:v>
      </x:c>
      <x:c r="B39" s="102" t="n">
        <x:f>IFERROR(INDEX(Sheet1!$M$5:$M$202,MATCH($A39,Sheet1!$A$5:$A$202,0)),"")</x:f>
        <x:v>464974</x:v>
      </x:c>
      <x:c r="C39" s="115" t="n">
        <x:f>IF(OR(B39="",D39="",D39=0),"",(B39/D39-1)*100)</x:f>
        <x:v>14.416835225622936</x:v>
      </x:c>
      <x:c r="D39" s="180" t="n">
        <x:f>IFERROR(INDEX(Sheet1!$M$5:$M$202,MATCH(EDATE($A39,-12),Sheet1!$A$5:$A$202,0)),"")</x:f>
        <x:v>406386</x:v>
      </x:c>
      <x:c r="E39" s="180" t="n">
        <x:f>IFERROR(INDEX('02_收支口径脉冲'!$I$5:$I$82,MATCH($A39,'02_收支口径脉冲'!$A$5:$A$82,0)),"")</x:f>
        <x:v>1342637</x:v>
      </x:c>
      <x:c r="F39" s="179" t="n">
        <x:f>IF(OR(B39="",E39="",E39=0),"",B39/E39*100)</x:f>
        <x:v>34.6314007434623</x:v>
      </x:c>
    </x:row>
    <x:row r="40">
      <x:c r="A40" s="107" t="n">
        <x:v>45657</x:v>
      </x:c>
      <x:c r="B40" s="102" t="n">
        <x:f>IFERROR(INDEX(Sheet1!$M$5:$M$202,MATCH($A40,Sheet1!$A$5:$A$202,0)),"")</x:f>
        <x:v>475371</x:v>
      </x:c>
      <x:c r="C40" s="115" t="n">
        <x:f>IF(OR(B40="",D40="",D40=0),"",(B40/D40-1)*100)</x:f>
        <x:v>16.69182788255481</x:v>
      </x:c>
      <x:c r="D40" s="180" t="n">
        <x:f>IFERROR(INDEX(Sheet1!$M$5:$M$202,MATCH(EDATE($A40,-12),Sheet1!$A$5:$A$202,0)),"")</x:f>
        <x:v>407373</x:v>
      </x:c>
      <x:c r="E40" s="180" t="n">
        <x:f>IFERROR(INDEX('02_收支口径脉冲'!$I$5:$I$82,MATCH($A40,'02_收支口径脉冲'!$A$5:$A$82,0)),"")</x:f>
        <x:v>1348066.2000000002</x:v>
      </x:c>
      <x:c r="F40" s="179" t="n">
        <x:f>IF(OR(B40="",E40="",E40=0),"",B40/E40*100)</x:f>
        <x:v>35.263179211822084</x:v>
      </x:c>
    </x:row>
    <x:row r="41">
      <x:c r="A41" s="107" t="n">
        <x:v>45688</x:v>
      </x:c>
      <x:c r="B41" s="102" t="n">
        <x:f>IFERROR(INDEX(Sheet1!$M$5:$M$202,MATCH($A41,Sheet1!$A$5:$A$202,0)),"")</x:f>
        <x:v>480131</x:v>
      </x:c>
      <x:c r="C41" s="115" t="n">
        <x:f>IF(OR(B41="",D41="",D41=0),"",(B41/D41-1)*100)</x:f>
        <x:v>17.11683363458296</x:v>
      </x:c>
      <x:c r="D41" s="180" t="n">
        <x:f>IFERROR(INDEX(Sheet1!$M$5:$M$202,MATCH(EDATE($A41,-12),Sheet1!$A$5:$A$202,0)),"")</x:f>
        <x:v>409959</x:v>
      </x:c>
      <x:c r="E41" s="180" t="n">
        <x:f>IFERROR(INDEX('02_收支口径脉冲'!$I$5:$I$82,MATCH($A41,'02_收支口径脉冲'!$A$5:$A$82,0)),"")</x:f>
        <x:v>1352713.2666666666</x:v>
      </x:c>
      <x:c r="F41" s="179" t="n">
        <x:f>IF(OR(B41="",E41="",E41=0),"",B41/E41*100)</x:f>
        <x:v>35.493922609566084</x:v>
      </x:c>
    </x:row>
    <x:row r="42">
      <x:c r="A42" s="107" t="n">
        <x:v>45716</x:v>
      </x:c>
      <x:c r="B42" s="102" t="n">
        <x:f>IFERROR(INDEX(Sheet1!$M$5:$M$202,MATCH($A42,Sheet1!$A$5:$A$202,0)),"")</x:f>
        <x:v>492859</x:v>
      </x:c>
      <x:c r="C42" s="115" t="str">
        <x:f>IF(OR(B42="",D42="",D42=0),"",(B42/D42-1)*100)</x:f>
      </x:c>
      <x:c r="D42" s="180" t="str">
        <x:f>IFERROR(INDEX(Sheet1!$M$5:$M$202,MATCH(EDATE($A42,-12),Sheet1!$A$5:$A$202,0)),"")</x:f>
      </x:c>
      <x:c r="E42" s="180" t="n">
        <x:f>IFERROR(INDEX('02_收支口径脉冲'!$I$5:$I$82,MATCH($A42,'02_收支口径脉冲'!$A$5:$A$82,0)),"")</x:f>
        <x:v>1357360.3333333335</x:v>
      </x:c>
      <x:c r="F42" s="179" t="n">
        <x:f>IF(OR(B42="",E42="",E42=0),"",B42/E42*100)</x:f>
        <x:v>36.31010778027254</x:v>
      </x:c>
    </x:row>
    <x:row r="43">
      <x:c r="A43" s="107" t="n">
        <x:v>45747</x:v>
      </x:c>
      <x:c r="B43" s="102" t="n">
        <x:f>IFERROR(INDEX(Sheet1!$M$5:$M$202,MATCH($A43,Sheet1!$A$5:$A$202,0)),"")</x:f>
        <x:v>501650</x:v>
      </x:c>
      <x:c r="C43" s="115" t="n">
        <x:f>IF(OR(B43="",D43="",D43=0),"",(B43/D43-1)*100)</x:f>
        <x:v>20.31707200076749</x:v>
      </x:c>
      <x:c r="D43" s="180" t="n">
        <x:f>IFERROR(INDEX(Sheet1!$M$5:$M$202,MATCH(EDATE($A43,-12),Sheet1!$A$5:$A$202,0)),"")</x:f>
        <x:v>416940</x:v>
      </x:c>
      <x:c r="E43" s="180" t="n">
        <x:f>IFERROR(INDEX('02_收支口径脉冲'!$I$5:$I$82,MATCH($A43,'02_收支口径脉冲'!$A$5:$A$82,0)),"")</x:f>
        <x:v>1362007.4000000004</x:v>
      </x:c>
      <x:c r="F43" s="179" t="n">
        <x:f>IF(OR(B43="",E43="",E43=0),"",B43/E43*100)</x:f>
        <x:v>36.831664791248556</x:v>
      </x:c>
    </x:row>
    <x:row r="44">
      <x:c r="A44" s="107" t="n">
        <x:v>45777</x:v>
      </x:c>
      <x:c r="B44" s="102" t="n">
        <x:f>IFERROR(INDEX(Sheet1!$M$5:$M$202,MATCH($A44,Sheet1!$A$5:$A$202,0)),"")</x:f>
        <x:v>506931</x:v>
      </x:c>
      <x:c r="C44" s="115" t="n">
        <x:f>IF(OR(B44="",D44="",D44=0),"",(B44/D44-1)*100)</x:f>
        <x:v>21.423797992282424</x:v>
      </x:c>
      <x:c r="D44" s="180" t="n">
        <x:f>IFERROR(INDEX(Sheet1!$M$5:$M$202,MATCH(EDATE($A44,-12),Sheet1!$A$5:$A$202,0)),"")</x:f>
        <x:v>417489</x:v>
      </x:c>
      <x:c r="E44" s="180" t="n">
        <x:f>IFERROR(INDEX('02_收支口径脉冲'!$I$5:$I$82,MATCH($A44,'02_收支口径脉冲'!$A$5:$A$82,0)),"")</x:f>
        <x:v>1366277.366666667</x:v>
      </x:c>
      <x:c r="F44" s="179" t="n">
        <x:f>IF(OR(B44="",E44="",E44=0),"",B44/E44*100)</x:f>
        <x:v>37.10308114352866</x:v>
      </x:c>
    </x:row>
    <x:row r="45">
      <x:c r="A45" s="107" t="n">
        <x:v>45808</x:v>
      </x:c>
      <x:c r="B45" s="102" t="n">
        <x:f>IFERROR(INDEX(Sheet1!$M$5:$M$202,MATCH($A45,Sheet1!$A$5:$A$202,0)),"")</x:f>
        <x:v>512475</x:v>
      </x:c>
      <x:c r="C45" s="115" t="n">
        <x:f>IF(OR(B45="",D45="",D45=0),"",(B45/D45-1)*100)</x:f>
        <x:v>20.91294315280838</x:v>
      </x:c>
      <x:c r="D45" s="180" t="n">
        <x:f>IFERROR(INDEX(Sheet1!$M$5:$M$202,MATCH(EDATE($A45,-12),Sheet1!$A$5:$A$202,0)),"")</x:f>
        <x:v>423838</x:v>
      </x:c>
      <x:c r="E45" s="180" t="n">
        <x:f>IFERROR(INDEX('02_收支口径脉冲'!$I$5:$I$82,MATCH($A45,'02_收支口径脉冲'!$A$5:$A$82,0)),"")</x:f>
        <x:v>1370547.3333333335</x:v>
      </x:c>
      <x:c r="F45" s="179" t="n">
        <x:f>IF(OR(B45="",E45="",E45=0),"",B45/E45*100)</x:f>
        <x:v>37.39199570390612</x:v>
      </x:c>
    </x:row>
    <x:row r="46">
      <x:c r="A46" s="107" t="n">
        <x:v>45838</x:v>
      </x:c>
      <x:c r="B46" s="102" t="n">
        <x:f>IFERROR(INDEX(Sheet1!$M$5:$M$202,MATCH($A46,Sheet1!$A$5:$A$202,0)),"")</x:f>
        <x:v>519503</x:v>
      </x:c>
      <x:c r="C46" s="115" t="n">
        <x:f>IF(OR(B46="",D46="",D46=0),"",(B46/D46-1)*100)</x:f>
        <x:v>21.921013475773176</x:v>
      </x:c>
      <x:c r="D46" s="180" t="n">
        <x:f>IFERROR(INDEX(Sheet1!$M$5:$M$202,MATCH(EDATE($A46,-12),Sheet1!$A$5:$A$202,0)),"")</x:f>
        <x:v>426098</x:v>
      </x:c>
      <x:c r="E46" s="180" t="n">
        <x:f>IFERROR(INDEX('02_收支口径脉冲'!$I$5:$I$82,MATCH($A46,'02_收支口径脉冲'!$A$5:$A$82,0)),"")</x:f>
        <x:v>1374817.3</x:v>
      </x:c>
      <x:c r="F46" s="179" t="n">
        <x:f>IF(OR(B46="",E46="",E46=0),"",B46/E46*100)</x:f>
        <x:v>37.78705723298652</x:v>
      </x:c>
    </x:row>
    <x:row r="47">
      <x:c r="A47" s="107" t="n">
        <x:v>45869</x:v>
      </x:c>
      <x:c r="B47" s="102" t="n">
        <x:f>IFERROR(INDEX(Sheet1!$M$5:$M$202,MATCH($A47,Sheet1!$A$5:$A$202,0)),"")</x:f>
        <x:v>527627</x:v>
      </x:c>
      <x:c r="C47" s="115" t="n">
        <x:f>IF(OR(B47="",D47="",D47=0),"",(B47/D47-1)*100)</x:f>
        <x:v>23.274744222668218</x:v>
      </x:c>
      <x:c r="D47" s="180" t="n">
        <x:f>IFERROR(INDEX(Sheet1!$M$5:$M$202,MATCH(EDATE($A47,-12),Sheet1!$A$5:$A$202,0)),"")</x:f>
        <x:v>428009</x:v>
      </x:c>
      <x:c r="E47" s="180" t="n">
        <x:f>IFERROR(INDEX('02_收支口径脉冲'!$I$5:$I$82,MATCH($A47,'02_收支口径脉冲'!$A$5:$A$82,0)),"")</x:f>
        <x:v>1379038.3</x:v>
      </x:c>
      <x:c r="F47" s="179" t="n">
        <x:f>IF(OR(B47="",E47="",E47=0),"",B47/E47*100)</x:f>
        <x:v>38.26050371479893</x:v>
      </x:c>
    </x:row>
    <x:row r="48">
      <x:c r="A48" s="107" t="n">
        <x:v>45900</x:v>
      </x:c>
      <x:c r="B48" s="102" t="n">
        <x:f>IFERROR(INDEX(Sheet1!$M$5:$M$202,MATCH($A48,Sheet1!$A$5:$A$202,0)),"")</x:f>
        <x:v>532484</x:v>
      </x:c>
      <x:c r="C48" s="115" t="n">
        <x:f>IF(OR(B48="",D48="",D48=0),"",(B48/D48-1)*100)</x:f>
        <x:v>22.046220808302607</x:v>
      </x:c>
      <x:c r="D48" s="180" t="n">
        <x:f>IFERROR(INDEX(Sheet1!$M$5:$M$202,MATCH(EDATE($A48,-12),Sheet1!$A$5:$A$202,0)),"")</x:f>
        <x:v>436297</x:v>
      </x:c>
      <x:c r="E48" s="180" t="n">
        <x:f>IFERROR(INDEX('02_收支口径脉冲'!$I$5:$I$82,MATCH($A48,'02_收支口径脉冲'!$A$5:$A$82,0)),"")</x:f>
        <x:v>1383259.2999999998</x:v>
      </x:c>
      <x:c r="F48" s="179" t="n">
        <x:f>IF(OR(B48="",E48="",E48=0),"",B48/E48*100)</x:f>
        <x:v>38.494879448849545</x:v>
      </x:c>
    </x:row>
    <x:row r="49">
      <x:c r="A49" s="107" t="n">
        <x:v>45930</x:v>
      </x:c>
      <x:c r="B49" s="102" t="n">
        <x:f>IFERROR(INDEX(Sheet1!$M$5:$M$202,MATCH($A49,Sheet1!$A$5:$A$202,0)),"")</x:f>
        <x:v>536995</x:v>
      </x:c>
      <x:c r="C49" s="115" t="n">
        <x:f>IF(OR(B49="",D49="",D49=0),"",(B49/D49-1)*100)</x:f>
        <x:v>20.02489925190489</x:v>
      </x:c>
      <x:c r="D49" s="180" t="n">
        <x:f>IFERROR(INDEX(Sheet1!$M$5:$M$202,MATCH(EDATE($A49,-12),Sheet1!$A$5:$A$202,0)),"")</x:f>
        <x:v>447403</x:v>
      </x:c>
      <x:c r="E49" s="180" t="n">
        <x:f>IFERROR(INDEX('02_收支口径脉冲'!$I$5:$I$82,MATCH($A49,'02_收支口径脉冲'!$A$5:$A$82,0)),"")</x:f>
        <x:v>1387480.2999999998</x:v>
      </x:c>
      <x:c r="F49" s="179" t="n">
        <x:f>IF(OR(B49="",E49="",E49=0),"",B49/E49*100)</x:f>
        <x:v>38.70289185367173</x:v>
      </x:c>
    </x:row>
    <x:row r="50">
      <x:c r="A50" s="107" t="n">
        <x:v>45961</x:v>
      </x:c>
      <x:c r="B50" s="102" t="n">
        <x:f>IFERROR(INDEX(Sheet1!$M$5:$M$202,MATCH($A50,Sheet1!$A$5:$A$202,0)),"")</x:f>
        <x:v>540106</x:v>
      </x:c>
      <x:c r="C50" s="115" t="n">
        <x:f>IF(OR(B50="",D50="",D50=0),"",(B50/D50-1)*100)</x:f>
        <x:v>19.18660075911378</x:v>
      </x:c>
      <x:c r="D50" s="180" t="n">
        <x:f>IFERROR(INDEX(Sheet1!$M$5:$M$202,MATCH(EDATE($A50,-12),Sheet1!$A$5:$A$202,0)),"")</x:f>
        <x:v>453160</x:v>
      </x:c>
      <x:c r="E50" s="180" t="n">
        <x:f>IFERROR(INDEX('02_收支口径脉冲'!$I$5:$I$82,MATCH($A50,'02_收支口径脉冲'!$A$5:$A$82,0)),"")</x:f>
        <x:v>1392279.9333333333</x:v>
      </x:c>
      <x:c r="F50" s="179" t="n">
        <x:f>IF(OR(B50="",E50="",E50=0),"",B50/E50*100)</x:f>
        <x:v>38.79291707572792</x:v>
      </x:c>
    </x:row>
    <x:row r="51">
      <x:c r="A51" s="107" t="n">
        <x:v>45991</x:v>
      </x:c>
      <x:c r="B51" s="102" t="n">
        <x:f>IFERROR(INDEX(Sheet1!$M$5:$M$202,MATCH($A51,Sheet1!$A$5:$A$202,0)),"")</x:f>
        <x:v>546597</x:v>
      </x:c>
      <x:c r="C51" s="115" t="n">
        <x:f>IF(OR(B51="",D51="",D51=0),"",(B51/D51-1)*100)</x:f>
        <x:v>17.55431486491719</x:v>
      </x:c>
      <x:c r="D51" s="180" t="n">
        <x:f>IFERROR(INDEX(Sheet1!$M$5:$M$202,MATCH(EDATE($A51,-12),Sheet1!$A$5:$A$202,0)),"")</x:f>
        <x:v>464974</x:v>
      </x:c>
      <x:c r="E51" s="180" t="n">
        <x:f>IFERROR(INDEX('02_收支口径脉冲'!$I$5:$I$82,MATCH($A51,'02_收支口径脉冲'!$A$5:$A$82,0)),"")</x:f>
        <x:v>1397079.5666666667</x:v>
      </x:c>
      <x:c r="F51" s="179" t="n">
        <x:f>IF(OR(B51="",E51="",E51=0),"",B51/E51*100)</x:f>
        <x:v>39.12425698875132</x:v>
      </x:c>
    </x:row>
    <x:row r="52">
      <x:c r="A52" s="107" t="n">
        <x:v>46022</x:v>
      </x:c>
      <x:c r="B52" s="102" t="n">
        <x:f>IFERROR(INDEX(Sheet1!$M$5:$M$202,MATCH($A52,Sheet1!$A$5:$A$202,0)),"")</x:f>
        <x:v>548231</x:v>
      </x:c>
      <x:c r="C52" s="115" t="n">
        <x:f>IF(OR(B52="",D52="",D52=0),"",(B52/D52-1)*100)</x:f>
        <x:v>15.326976193331099</x:v>
      </x:c>
      <x:c r="D52" s="180" t="n">
        <x:f>IFERROR(INDEX(Sheet1!$M$5:$M$202,MATCH(EDATE($A52,-12),Sheet1!$A$5:$A$202,0)),"")</x:f>
        <x:v>475371</x:v>
      </x:c>
      <x:c r="E52" s="180" t="n">
        <x:f>IFERROR(INDEX('02_收支口径脉冲'!$I$5:$I$82,MATCH($A52,'02_收支口径脉冲'!$A$5:$A$82,0)),"")</x:f>
        <x:v>1401879.2</x:v>
      </x:c>
      <x:c r="F52" s="179" t="n">
        <x:f>IF(OR(B52="",E52="",E52=0),"",B52/E52*100)</x:f>
        <x:v>39.10686455723146</x:v>
      </x:c>
    </x:row>
    <x:row r="53">
      <x:c r="A53" s="107" t="n">
        <x:v>46053</x:v>
      </x:c>
      <x:c r="B53" s="102" t="n">
        <x:f>IFERROR(INDEX(Sheet1!$M$5:$M$202,MATCH($A53,Sheet1!$A$5:$A$202,0)),"")</x:f>
        <x:v>555774</x:v>
      </x:c>
      <x:c r="C53" s="115" t="n">
        <x:f>IF(OR(B53="",D53="",D53=0),"",(B53/D53-1)*100)</x:f>
        <x:v>15.754658624417095</x:v>
      </x:c>
      <x:c r="D53" s="180" t="n">
        <x:f>IFERROR(INDEX(Sheet1!$M$5:$M$202,MATCH(EDATE($A53,-12),Sheet1!$A$5:$A$202,0)),"")</x:f>
        <x:v>480131</x:v>
      </x:c>
      <x:c r="E53" s="180" t="n">
        <x:f>IFERROR(INDEX('02_收支口径脉冲'!$I$5:$I$82,MATCH($A53,'02_收支口径脉冲'!$A$5:$A$82,0)),"")</x:f>
        <x:v>1407121.3666666667</x:v>
      </x:c>
      <x:c r="F53" s="179" t="n">
        <x:f>IF(OR(B53="",E53="",E53=0),"",B53/E53*100)</x:f>
        <x:v>39.49723265993568</x:v>
      </x:c>
    </x:row>
    <x:row r="54">
      <x:c r="A54" s="107" t="n">
        <x:v>46081</x:v>
      </x:c>
      <x:c r="B54" s="102" t="n">
        <x:f>IFERROR(INDEX(Sheet1!$M$5:$M$202,MATCH($A54,Sheet1!$A$5:$A$202,0)),"")</x:f>
        <x:v>565936</x:v>
      </x:c>
      <x:c r="C54" s="115" t="n">
        <x:f>IF(OR(B54="",D54="",D54=0),"",(B54/D54-1)*100)</x:f>
        <x:v>14.827161520840647</x:v>
      </x:c>
      <x:c r="D54" s="180" t="n">
        <x:f>IFERROR(INDEX(Sheet1!$M$5:$M$202,MATCH(EDATE($A54,-12),Sheet1!$A$5:$A$202,0)),"")</x:f>
        <x:v>492859</x:v>
      </x:c>
      <x:c r="E54" s="180" t="n">
        <x:f>IFERROR(INDEX('02_收支口径脉冲'!$I$5:$I$82,MATCH($A54,'02_收支口径脉冲'!$A$5:$A$82,0)),"")</x:f>
        <x:v>1412363.5333333332</x:v>
      </x:c>
      <x:c r="F54" s="179" t="n">
        <x:f>IF(OR(B54="",E54="",E54=0),"",B54/E54*100)</x:f>
        <x:v>40.07013680566566</x:v>
      </x:c>
    </x:row>
    <x:row r="55">
      <x:c r="A55" s="107" t="n">
        <x:v>46112</x:v>
      </x:c>
      <x:c r="B55" s="102" t="n">
        <x:f>IFERROR(INDEX(Sheet1!$M$5:$M$202,MATCH($A55,Sheet1!$A$5:$A$202,0)),"")</x:f>
        <x:v>572587</x:v>
      </x:c>
      <x:c r="C55" s="115" t="n">
        <x:f>IF(OR(B55="",D55="",D55=0),"",(B55/D55-1)*100)</x:f>
        <x:v>14.140735572610396</x:v>
      </x:c>
      <x:c r="D55" s="180" t="n">
        <x:f>IFERROR(INDEX(Sheet1!$M$5:$M$202,MATCH(EDATE($A55,-12),Sheet1!$A$5:$A$202,0)),"")</x:f>
        <x:v>501650</x:v>
      </x:c>
      <x:c r="E55" s="180" t="n">
        <x:f>IFERROR(INDEX('02_收支口径脉冲'!$I$5:$I$82,MATCH($A55,'02_收支口径脉冲'!$A$5:$A$82,0)),"")</x:f>
        <x:v>1417605.6999999997</x:v>
      </x:c>
      <x:c r="F55" s="179" t="n">
        <x:f>IF(OR(B55="",E55="",E55=0),"",B55/E55*100)</x:f>
        <x:v>40.39113273881447</x:v>
      </x:c>
    </x:row>
    <x:row r="56">
      <x:c r="A56" s="107" t="n">
        <x:v>46142</x:v>
      </x:c>
      <x:c r="B56" s="102" t="n">
        <x:f>IFERROR(INDEX(Sheet1!$M$5:$M$202,MATCH($A56,Sheet1!$A$5:$A$202,0)),"")</x:f>
        <x:v>576139</x:v>
      </x:c>
      <x:c r="C56" s="115" t="n">
        <x:f>IF(OR(B56="",D56="",D56=0),"",(B56/D56-1)*100)</x:f>
        <x:v>13.652351108928041</x:v>
      </x:c>
      <x:c r="D56" s="180" t="n">
        <x:f>IFERROR(INDEX(Sheet1!$M$5:$M$202,MATCH(EDATE($A56,-12),Sheet1!$A$5:$A$202,0)),"")</x:f>
        <x:v>506931</x:v>
      </x:c>
      <x:c r="E56" s="180" t="n">
        <x:f>IFERROR(INDEX('02_收支口径脉冲'!$I$5:$I$82,MATCH($A56,'02_收支口径脉冲'!$A$5:$A$82,0)),"")</x:f>
        <x:v>1424310.9666666663</x:v>
      </x:c>
      <x:c r="F56" s="179" t="n">
        <x:f>IF(OR(B56="",E56="",E56=0),"",B56/E56*100)</x:f>
        <x:v>40.450366070574155</x:v>
      </x:c>
    </x:row>
    <x:row r="57">
      <x:c r="A57" s="107" t="n">
        <x:v>46173</x:v>
      </x:c>
      <x:c r="B57" s="102" t="n">
        <x:f>IFERROR(INDEX(Sheet1!$M$5:$M$202,MATCH($A57,Sheet1!$A$5:$A$202,0)),"")</x:f>
        <x:v>581453</x:v>
      </x:c>
      <x:c r="C57" s="115" t="n">
        <x:f>IF(OR(B57="",D57="",D57=0),"",(B57/D57-1)*100)</x:f>
        <x:v>13.45977852578175</x:v>
      </x:c>
      <x:c r="D57" s="180" t="n">
        <x:f>IFERROR(INDEX(Sheet1!$M$5:$M$202,MATCH(EDATE($A57,-12),Sheet1!$A$5:$A$202,0)),"")</x:f>
        <x:v>512475</x:v>
      </x:c>
      <x:c r="E57" s="180" t="n">
        <x:f>IFERROR(INDEX('02_收支口径脉冲'!$I$5:$I$82,MATCH($A57,'02_收支口径脉冲'!$A$5:$A$82,0)),"")</x:f>
        <x:v>1431016.2333333332</x:v>
      </x:c>
      <x:c r="F57" s="179" t="n">
        <x:f>IF(OR(B57="",E57="",E57=0),"",B57/E57*100)</x:f>
        <x:v>40.63217358796793</x:v>
      </x:c>
    </x:row>
    <x:row r="58">
      <x:c r="A58" s="107" t="n">
        <x:v>46203</x:v>
      </x:c>
      <x:c r="B58" s="102" t="n">
        <x:f>IFERROR(INDEX(Sheet1!$M$5:$M$202,MATCH($A58,Sheet1!$A$5:$A$202,0)),"")</x:f>
        <x:v>587706</x:v>
      </x:c>
      <x:c r="C58" s="115" t="n">
        <x:f>IF(OR(B58="",D58="",D58=0),"",(B58/D58-1)*100)</x:f>
        <x:v>13.12850936375729</x:v>
      </x:c>
      <x:c r="D58" s="180" t="n">
        <x:f>IFERROR(INDEX(Sheet1!$M$5:$M$202,MATCH(EDATE($A58,-12),Sheet1!$A$5:$A$202,0)),"")</x:f>
        <x:v>519503</x:v>
      </x:c>
      <x:c r="E58" s="180" t="n">
        <x:f>IFERROR(INDEX('02_收支口径脉冲'!$I$5:$I$82,MATCH($A58,'02_收支口径脉冲'!$A$5:$A$82,0)),"")</x:f>
        <x:v>1437721.4999999998</x:v>
      </x:c>
      <x:c r="F58" s="179" t="n">
        <x:f>IF(OR(B58="",E58="",E58=0),"",B58/E58*100)</x:f>
        <x:v>40.877596947670334</x:v>
      </x:c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</x:sheetData>
  <x:mergeCells>
    <x:mergeCell ref="A1:D1"/>
    <x:mergeCell ref="A2:D2"/>
    <x:mergeCell ref="A1:F1"/>
    <x:mergeCell ref="A2:F2"/>
  </x:mergeCells>
  <x:pageMargins left="0.7" right="0.7" top="0.75" bottom="0.75" header="0.3" footer="0.3"/>
  <x:drawing xmlns:r="http://schemas.openxmlformats.org/officeDocument/2006/relationships" r:id="Rf02d236826234b30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66" t="str">
        <x:v>10 新增专项债发行进度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</x:row>
    <x:row r="2" ht="54" customHeight="1">
      <x:c r="A2" s="168" t="str">
        <x:v>HTML口径：按2022—2026年比较新增专项债年内累计发行；年度额度取Sheet5地方专项债目标，悬停显示累计发行、额度和完成率。发行口径与年度额度口径不一定严格一一对应，因此历史年份完成率可能超过100%，主要用于比较发行节奏。右侧Excel核查图只截到2026年当前可比月份。</x:v>
      </x:c>
      <x:c r="B2" s="168"/>
      <x:c r="C2" s="168"/>
      <x:c r="D2" s="168"/>
      <x:c r="E2" s="168"/>
      <x:c r="F2" s="168"/>
      <x:c r="G2" s="168"/>
      <x:c r="H2" s="168" t="str">
        <x:v>数据截止</x:v>
      </x:c>
      <x:c r="I2" s="182" t="n">
        <x:v>46203</x:v>
      </x:c>
      <x:c r="J2" s="168"/>
      <x:c r="K2" s="168"/>
    </x:row>
    <x:row r="4" ht="28" customHeight="1">
      <x:c r="A4" s="173" t="str">
        <x:v>月份</x:v>
      </x:c>
      <x:c r="B4" s="176" t="n">
        <x:v>2022</x:v>
      </x:c>
      <x:c r="C4" s="176" t="n">
        <x:v>2023</x:v>
      </x:c>
      <x:c r="D4" s="176" t="n">
        <x:v>2024</x:v>
      </x:c>
      <x:c r="E4" s="176" t="n">
        <x:v>2025</x:v>
      </x:c>
      <x:c r="F4" s="176" t="n">
        <x:v>2026</x:v>
      </x:c>
      <x:c r="G4" s="173"/>
      <x:c r="H4" s="173" t="str">
        <x:v>年份</x:v>
      </x:c>
      <x:c r="I4" s="173" t="str">
        <x:v>年度额度 (亿元)</x:v>
      </x:c>
      <x:c r="J4" s="173" t="str">
        <x:v>最新累计发行 (亿元)</x:v>
      </x:c>
      <x:c r="K4" s="173" t="str">
        <x:v>完成率 (%)</x:v>
      </x:c>
    </x:row>
    <x:row r="5">
      <x:c r="A5" s="113" t="n">
        <x:v>1</x:v>
      </x:c>
      <x:c r="B5" s="102" t="n">
        <x:f>IFERROR(INDEX(Sheet4!$E$5:$E$118,MATCH(EOMONTH(DATE(B$4,$A5,1),0),Sheet4!$A$5:$A$118,0)),"")</x:f>
        <x:v>4844</x:v>
      </x:c>
      <x:c r="C5" s="102" t="n">
        <x:f>IFERROR(INDEX(Sheet4!$E$5:$E$118,MATCH(EOMONTH(DATE(C$4,$A5,1),0),Sheet4!$A$5:$A$118,0)),"")</x:f>
        <x:v>4912</x:v>
      </x:c>
      <x:c r="D5" s="102" t="n">
        <x:f>IFERROR(INDEX(Sheet4!$E$5:$E$118,MATCH(EOMONTH(DATE(D$4,$A5,1),0),Sheet4!$A$5:$A$118,0)),"")</x:f>
        <x:v>568</x:v>
      </x:c>
      <x:c r="E5" s="102" t="n">
        <x:f>IFERROR(INDEX(Sheet4!$E$5:$E$118,MATCH(EOMONTH(DATE(E$4,$A5,1),0),Sheet4!$A$5:$A$118,0)),"")</x:f>
        <x:v>2048</x:v>
      </x:c>
      <x:c r="F5" s="102" t="n">
        <x:f>IFERROR(INDEX(Sheet4!$E$5:$E$118,MATCH(EOMONTH(DATE(F$4,$A5,1),0),Sheet4!$A$5:$A$118,0)),"")</x:f>
        <x:v>3677</x:v>
      </x:c>
      <x:c r="H5" t="n">
        <x:v>2022</x:v>
      </x:c>
      <x:c r="I5" s="180" t="n">
        <x:f>IFERROR(INDEX(Sheet5!$E$5:$E$12,MATCH(DATE(H5,12,31),Sheet5!$A$5:$A$12,0)),"")</x:f>
        <x:v>36500</x:v>
      </x:c>
      <x:c r="J5" s="180" t="n">
        <x:f>INDEX($B$5:$F$16,IF(H5=YEAR($I$2),MONTH($I$2),12),MATCH(H5,$B$4:$F$4,0))</x:f>
        <x:v>40384</x:v>
      </x:c>
      <x:c r="K5" s="184" t="n">
        <x:f>IF(OR(I5="",I5=0,J5=""),"",J5/I5*100)</x:f>
        <x:v>110.64109589041095</x:v>
      </x:c>
    </x:row>
    <x:row r="6">
      <x:c r="A6" s="113" t="n">
        <x:v>2</x:v>
      </x:c>
      <x:c r="B6" s="102" t="n">
        <x:f>IFERROR(INDEX(Sheet4!$E$5:$E$118,MATCH(EOMONTH(DATE(B$4,$A6,1),0),Sheet4!$A$5:$A$118,0)),"")</x:f>
        <x:v>8775</x:v>
      </x:c>
      <x:c r="C6" s="102" t="n">
        <x:f>IFERROR(INDEX(Sheet4!$E$5:$E$118,MATCH(EOMONTH(DATE(C$4,$A6,1),0),Sheet4!$A$5:$A$118,0)),"")</x:f>
        <x:v>8269</x:v>
      </x:c>
      <x:c r="D6" s="102" t="n">
        <x:f>IFERROR(INDEX(Sheet4!$E$5:$E$118,MATCH(EOMONTH(DATE(D$4,$A6,1),0),Sheet4!$A$5:$A$118,0)),"")</x:f>
        <x:v>4034</x:v>
      </x:c>
      <x:c r="E6" s="102" t="n">
        <x:f>IFERROR(INDEX(Sheet4!$E$5:$E$118,MATCH(EOMONTH(DATE(E$4,$A6,1),0),Sheet4!$A$5:$A$118,0)),"")</x:f>
        <x:v>5968</x:v>
      </x:c>
      <x:c r="F6" s="102" t="n">
        <x:f>IFERROR(INDEX(Sheet4!$E$5:$E$118,MATCH(EOMONTH(DATE(F$4,$A6,1),0),Sheet4!$A$5:$A$118,0)),"")</x:f>
        <x:v>8242</x:v>
      </x:c>
      <x:c r="H6" t="n">
        <x:v>2023</x:v>
      </x:c>
      <x:c r="I6" s="180" t="n">
        <x:f>IFERROR(INDEX(Sheet5!$E$5:$E$12,MATCH(DATE(H6,12,31),Sheet5!$A$5:$A$12,0)),"")</x:f>
        <x:v>38000</x:v>
      </x:c>
      <x:c r="J6" s="180" t="n">
        <x:f>INDEX($B$5:$F$16,IF(H6=YEAR($I$2),MONTH($I$2),12),MATCH(H6,$B$4:$F$4,0))</x:f>
        <x:v>39555</x:v>
      </x:c>
      <x:c r="K6" s="184" t="n">
        <x:f>IF(OR(I6="",I6=0,J6=""),"",J6/I6*100)</x:f>
        <x:v>104.09210526315789</x:v>
      </x:c>
    </x:row>
    <x:row r="7">
      <x:c r="A7" s="113" t="n">
        <x:v>3</x:v>
      </x:c>
      <x:c r="B7" s="102" t="n">
        <x:f>IFERROR(INDEX(Sheet4!$E$5:$E$118,MATCH(EOMONTH(DATE(B$4,$A7,1),0),Sheet4!$A$5:$A$118,0)),"")</x:f>
        <x:v>12980</x:v>
      </x:c>
      <x:c r="C7" s="102" t="n">
        <x:f>IFERROR(INDEX(Sheet4!$E$5:$E$118,MATCH(EOMONTH(DATE(C$4,$A7,1),0),Sheet4!$A$5:$A$118,0)),"")</x:f>
        <x:v>13568</x:v>
      </x:c>
      <x:c r="D7" s="102" t="n">
        <x:f>IFERROR(INDEX(Sheet4!$E$5:$E$118,MATCH(EOMONTH(DATE(D$4,$A7,1),0),Sheet4!$A$5:$A$118,0)),"")</x:f>
        <x:v>6341</x:v>
      </x:c>
      <x:c r="E7" s="102" t="n">
        <x:f>IFERROR(INDEX(Sheet4!$E$5:$E$118,MATCH(EOMONTH(DATE(E$4,$A7,1),0),Sheet4!$A$5:$A$118,0)),"")</x:f>
        <x:v>9603</x:v>
      </x:c>
      <x:c r="F7" s="102" t="n">
        <x:f>IFERROR(INDEX(Sheet4!$E$5:$E$118,MATCH(EOMONTH(DATE(F$4,$A7,1),0),Sheet4!$A$5:$A$118,0)),"")</x:f>
        <x:v>11599</x:v>
      </x:c>
      <x:c r="H7" t="n">
        <x:v>2024</x:v>
      </x:c>
      <x:c r="I7" s="180" t="n">
        <x:f>IFERROR(INDEX(Sheet5!$E$5:$E$12,MATCH(DATE(H7,12,31),Sheet5!$A$5:$A$12,0)),"")</x:f>
        <x:v>39000</x:v>
      </x:c>
      <x:c r="J7" s="180" t="n">
        <x:f>INDEX($B$5:$F$16,IF(H7=YEAR($I$2),MONTH($I$2),12),MATCH(H7,$B$4:$F$4,0))</x:f>
        <x:v>40188</x:v>
      </x:c>
      <x:c r="K7" s="184" t="n">
        <x:f>IF(OR(I7="",I7=0,J7=""),"",J7/I7*100)</x:f>
        <x:v>103.04615384615386</x:v>
      </x:c>
    </x:row>
    <x:row r="8">
      <x:c r="A8" s="113" t="n">
        <x:v>4</x:v>
      </x:c>
      <x:c r="B8" s="102" t="n">
        <x:f>IFERROR(INDEX(Sheet4!$E$5:$E$118,MATCH(EOMONTH(DATE(B$4,$A8,1),0),Sheet4!$A$5:$A$118,0)),"")</x:f>
        <x:v>14019</x:v>
      </x:c>
      <x:c r="C8" s="102" t="n">
        <x:f>IFERROR(INDEX(Sheet4!$E$5:$E$118,MATCH(EOMONTH(DATE(C$4,$A8,1),0),Sheet4!$A$5:$A$118,0)),"")</x:f>
        <x:v>16216</x:v>
      </x:c>
      <x:c r="D8" s="102" t="n">
        <x:f>IFERROR(INDEX(Sheet4!$E$5:$E$118,MATCH(EOMONTH(DATE(D$4,$A8,1),0),Sheet4!$A$5:$A$118,0)),"")</x:f>
        <x:v>7224</x:v>
      </x:c>
      <x:c r="E8" s="102" t="n">
        <x:f>IFERROR(INDEX(Sheet4!$E$5:$E$118,MATCH(EOMONTH(DATE(E$4,$A8,1),0),Sheet4!$A$5:$A$118,0)),"")</x:f>
        <x:v>11904</x:v>
      </x:c>
      <x:c r="F8" s="102" t="n">
        <x:f>IFERROR(INDEX(Sheet4!$E$5:$E$118,MATCH(EOMONTH(DATE(F$4,$A8,1),0),Sheet4!$A$5:$A$118,0)),"")</x:f>
        <x:v>13343</x:v>
      </x:c>
      <x:c r="H8" t="n">
        <x:v>2025</x:v>
      </x:c>
      <x:c r="I8" s="180" t="n">
        <x:f>IFERROR(INDEX(Sheet5!$E$5:$E$12,MATCH(DATE(H8,12,31),Sheet5!$A$5:$A$12,0)),"")</x:f>
        <x:v>44000</x:v>
      </x:c>
      <x:c r="J8" s="180" t="n">
        <x:f>INDEX($B$5:$F$16,IF(H8=YEAR($I$2),MONTH($I$2),12),MATCH(H8,$B$4:$F$4,0))</x:f>
        <x:v>46077</x:v>
      </x:c>
      <x:c r="K8" s="184" t="n">
        <x:f>IF(OR(I8="",I8=0,J8=""),"",J8/I8*100)</x:f>
        <x:v>104.72045454545456</x:v>
      </x:c>
    </x:row>
    <x:row r="9">
      <x:c r="A9" s="113" t="n">
        <x:v>5</x:v>
      </x:c>
      <x:c r="B9" s="102" t="n">
        <x:f>IFERROR(INDEX(Sheet4!$E$5:$E$118,MATCH(EOMONTH(DATE(B$4,$A9,1),0),Sheet4!$A$5:$A$118,0)),"")</x:f>
        <x:v>20339</x:v>
      </x:c>
      <x:c r="C9" s="102" t="n">
        <x:f>IFERROR(INDEX(Sheet4!$E$5:$E$118,MATCH(EOMONTH(DATE(C$4,$A9,1),0),Sheet4!$A$5:$A$118,0)),"")</x:f>
        <x:v>18970</x:v>
      </x:c>
      <x:c r="D9" s="102" t="n">
        <x:f>IFERROR(INDEX(Sheet4!$E$5:$E$118,MATCH(EOMONTH(DATE(D$4,$A9,1),0),Sheet4!$A$5:$A$118,0)),"")</x:f>
        <x:v>11608</x:v>
      </x:c>
      <x:c r="E9" s="102" t="n">
        <x:f>IFERROR(INDEX(Sheet4!$E$5:$E$118,MATCH(EOMONTH(DATE(E$4,$A9,1),0),Sheet4!$A$5:$A$118,0)),"")</x:f>
        <x:v>16336</x:v>
      </x:c>
      <x:c r="F9" s="102" t="n">
        <x:f>IFERROR(INDEX(Sheet4!$E$5:$E$118,MATCH(EOMONTH(DATE(F$4,$A9,1),0),Sheet4!$A$5:$A$118,0)),"")</x:f>
        <x:v>14951</x:v>
      </x:c>
      <x:c r="H9" t="n">
        <x:v>2026</x:v>
      </x:c>
      <x:c r="I9" s="180" t="n">
        <x:f>IFERROR(INDEX(Sheet5!$E$5:$E$12,MATCH(DATE(H9,12,31),Sheet5!$A$5:$A$12,0)),"")</x:f>
        <x:v>44000</x:v>
      </x:c>
      <x:c r="J9" s="180" t="n">
        <x:f>INDEX($B$5:$F$16,IF(H9=YEAR($I$2),MONTH($I$2),12),MATCH(H9,$B$4:$F$4,0))</x:f>
        <x:v>20667</x:v>
      </x:c>
      <x:c r="K9" s="184" t="n">
        <x:f>IF(OR(I9="",I9=0,J9=""),"",J9/I9*100)</x:f>
        <x:v>46.970454545454544</x:v>
      </x:c>
    </x:row>
    <x:row r="10">
      <x:c r="A10" s="113" t="n">
        <x:v>6</x:v>
      </x:c>
      <x:c r="B10" s="102" t="n">
        <x:f>IFERROR(INDEX(Sheet4!$E$5:$E$118,MATCH(EOMONTH(DATE(B$4,$A10,1),0),Sheet4!$A$5:$A$118,0)),"")</x:f>
        <x:v>34062</x:v>
      </x:c>
      <x:c r="C10" s="102" t="n">
        <x:f>IFERROR(INDEX(Sheet4!$E$5:$E$118,MATCH(EOMONTH(DATE(C$4,$A10,1),0),Sheet4!$A$5:$A$118,0)),"")</x:f>
        <x:v>23009</x:v>
      </x:c>
      <x:c r="D10" s="102" t="n">
        <x:f>IFERROR(INDEX(Sheet4!$E$5:$E$118,MATCH(EOMONTH(DATE(D$4,$A10,1),0),Sheet4!$A$5:$A$118,0)),"")</x:f>
        <x:v>14935</x:v>
      </x:c>
      <x:c r="E10" s="102" t="n">
        <x:f>IFERROR(INDEX(Sheet4!$E$5:$E$118,MATCH(EOMONTH(DATE(E$4,$A10,1),0),Sheet4!$A$5:$A$118,0)),"")</x:f>
        <x:v>21607</x:v>
      </x:c>
      <x:c r="F10" s="102" t="n">
        <x:f>IFERROR(INDEX(Sheet4!$E$5:$E$118,MATCH(EOMONTH(DATE(F$4,$A10,1),0),Sheet4!$A$5:$A$118,0)),"")</x:f>
        <x:v>20667</x:v>
      </x:c>
    </x:row>
    <x:row r="11">
      <x:c r="A11" s="113" t="n">
        <x:v>7</x:v>
      </x:c>
      <x:c r="B11" s="102" t="n">
        <x:f>IFERROR(INDEX(Sheet4!$E$5:$E$118,MATCH(EOMONTH(DATE(B$4,$A11,1),0),Sheet4!$A$5:$A$118,0)),"")</x:f>
        <x:v>34675</x:v>
      </x:c>
      <x:c r="C11" s="102" t="n">
        <x:f>IFERROR(INDEX(Sheet4!$E$5:$E$118,MATCH(EOMONTH(DATE(C$4,$A11,1),0),Sheet4!$A$5:$A$118,0)),"")</x:f>
        <x:v>24971</x:v>
      </x:c>
      <x:c r="D11" s="102" t="n">
        <x:f>IFERROR(INDEX(Sheet4!$E$5:$E$118,MATCH(EOMONTH(DATE(D$4,$A11,1),0),Sheet4!$A$5:$A$118,0)),"")</x:f>
        <x:v>17749</x:v>
      </x:c>
      <x:c r="E11" s="102" t="n">
        <x:f>IFERROR(INDEX(Sheet4!$E$5:$E$118,MATCH(EOMONTH(DATE(E$4,$A11,1),0),Sheet4!$A$5:$A$118,0)),"")</x:f>
        <x:v>27776</x:v>
      </x:c>
      <x:c r="F11" s="102" t="str">
        <x:f>IFERROR(INDEX(Sheet4!$E$5:$E$118,MATCH(EOMONTH(DATE(F$4,$A11,1),0),Sheet4!$A$5:$A$118,0)),"")</x:f>
      </x:c>
    </x:row>
    <x:row r="12">
      <x:c r="A12" s="113" t="n">
        <x:v>8</x:v>
      </x:c>
      <x:c r="B12" s="102" t="n">
        <x:f>IFERROR(INDEX(Sheet4!$E$5:$E$118,MATCH(EOMONTH(DATE(B$4,$A12,1),0),Sheet4!$A$5:$A$118,0)),"")</x:f>
        <x:v>35191</x:v>
      </x:c>
      <x:c r="C12" s="102" t="n">
        <x:f>IFERROR(INDEX(Sheet4!$E$5:$E$118,MATCH(EOMONTH(DATE(C$4,$A12,1),0),Sheet4!$A$5:$A$118,0)),"")</x:f>
        <x:v>30978</x:v>
      </x:c>
      <x:c r="D12" s="102" t="n">
        <x:f>IFERROR(INDEX(Sheet4!$E$5:$E$118,MATCH(EOMONTH(DATE(D$4,$A12,1),0),Sheet4!$A$5:$A$118,0)),"")</x:f>
        <x:v>25800</x:v>
      </x:c>
      <x:c r="E12" s="102" t="n">
        <x:f>IFERROR(INDEX(Sheet4!$E$5:$E$118,MATCH(EOMONTH(DATE(E$4,$A12,1),0),Sheet4!$A$5:$A$118,0)),"")</x:f>
        <x:v>32666</x:v>
      </x:c>
      <x:c r="F12" s="102" t="str">
        <x:f>IFERROR(INDEX(Sheet4!$E$5:$E$118,MATCH(EOMONTH(DATE(F$4,$A12,1),0),Sheet4!$A$5:$A$118,0)),"")</x:f>
      </x:c>
    </x:row>
    <x:row r="13">
      <x:c r="A13" s="113" t="n">
        <x:v>9</x:v>
      </x:c>
      <x:c r="B13" s="102" t="n">
        <x:f>IFERROR(INDEX(Sheet4!$E$5:$E$118,MATCH(EOMONTH(DATE(B$4,$A13,1),0),Sheet4!$A$5:$A$118,0)),"")</x:f>
        <x:v>35432</x:v>
      </x:c>
      <x:c r="C13" s="102" t="n">
        <x:f>IFERROR(INDEX(Sheet4!$E$5:$E$118,MATCH(EOMONTH(DATE(C$4,$A13,1),0),Sheet4!$A$5:$A$118,0)),"")</x:f>
        <x:v>34598</x:v>
      </x:c>
      <x:c r="D13" s="102" t="n">
        <x:f>IFERROR(INDEX(Sheet4!$E$5:$E$118,MATCH(EOMONTH(DATE(D$4,$A13,1),0),Sheet4!$A$5:$A$118,0)),"")</x:f>
        <x:v>36129</x:v>
      </x:c>
      <x:c r="E13" s="102" t="n">
        <x:f>IFERROR(INDEX(Sheet4!$E$5:$E$118,MATCH(EOMONTH(DATE(E$4,$A13,1),0),Sheet4!$A$5:$A$118,0)),"")</x:f>
        <x:v>36857</x:v>
      </x:c>
      <x:c r="F13" s="102" t="str">
        <x:f>IFERROR(INDEX(Sheet4!$E$5:$E$118,MATCH(EOMONTH(DATE(F$4,$A13,1),0),Sheet4!$A$5:$A$118,0)),"")</x:f>
      </x:c>
    </x:row>
    <x:row r="14">
      <x:c r="A14" s="113" t="n">
        <x:v>10</x:v>
      </x:c>
      <x:c r="B14" s="102" t="n">
        <x:f>IFERROR(INDEX(Sheet4!$E$5:$E$118,MATCH(EOMONTH(DATE(B$4,$A14,1),0),Sheet4!$A$5:$A$118,0)),"")</x:f>
        <x:v>39831</x:v>
      </x:c>
      <x:c r="C14" s="102" t="n">
        <x:f>IFERROR(INDEX(Sheet4!$E$5:$E$118,MATCH(EOMONTH(DATE(C$4,$A14,1),0),Sheet4!$A$5:$A$118,0)),"")</x:f>
        <x:v>36782</x:v>
      </x:c>
      <x:c r="D14" s="102" t="n">
        <x:f>IFERROR(INDEX(Sheet4!$E$5:$E$118,MATCH(EOMONTH(DATE(D$4,$A14,1),0),Sheet4!$A$5:$A$118,0)),"")</x:f>
        <x:v>39121</x:v>
      </x:c>
      <x:c r="E14" s="102" t="n">
        <x:f>IFERROR(INDEX(Sheet4!$E$5:$E$118,MATCH(EOMONTH(DATE(E$4,$A14,1),0),Sheet4!$A$5:$A$118,0)),"")</x:f>
        <x:v>39806</x:v>
      </x:c>
      <x:c r="F14" s="102" t="str">
        <x:f>IFERROR(INDEX(Sheet4!$E$5:$E$118,MATCH(EOMONTH(DATE(F$4,$A14,1),0),Sheet4!$A$5:$A$118,0)),"")</x:f>
      </x:c>
    </x:row>
    <x:row r="15">
      <x:c r="A15" s="113" t="n">
        <x:v>11</x:v>
      </x:c>
      <x:c r="B15" s="102" t="n">
        <x:f>IFERROR(INDEX(Sheet4!$E$5:$E$118,MATCH(EOMONTH(DATE(B$4,$A15,1),0),Sheet4!$A$5:$A$118,0)),"")</x:f>
        <x:v>40286</x:v>
      </x:c>
      <x:c r="C15" s="102" t="n">
        <x:f>IFERROR(INDEX(Sheet4!$E$5:$E$118,MATCH(EOMONTH(DATE(C$4,$A15,1),0),Sheet4!$A$5:$A$118,0)),"")</x:f>
        <x:v>38634</x:v>
      </x:c>
      <x:c r="D15" s="102" t="n">
        <x:f>IFERROR(INDEX(Sheet4!$E$5:$E$118,MATCH(EOMONTH(DATE(D$4,$A15,1),0),Sheet4!$A$5:$A$118,0)),"")</x:f>
        <x:v>39977</x:v>
      </x:c>
      <x:c r="E15" s="102" t="n">
        <x:f>IFERROR(INDEX(Sheet4!$E$5:$E$118,MATCH(EOMONTH(DATE(E$4,$A15,1),0),Sheet4!$A$5:$A$118,0)),"")</x:f>
        <x:v>44728</x:v>
      </x:c>
      <x:c r="F15" s="102" t="str">
        <x:f>IFERROR(INDEX(Sheet4!$E$5:$E$118,MATCH(EOMONTH(DATE(F$4,$A15,1),0),Sheet4!$A$5:$A$118,0)),"")</x:f>
      </x:c>
    </x:row>
    <x:row r="16">
      <x:c r="A16" s="113" t="n">
        <x:v>12</x:v>
      </x:c>
      <x:c r="B16" s="102" t="n">
        <x:f>IFERROR(INDEX(Sheet4!$E$5:$E$118,MATCH(EOMONTH(DATE(B$4,$A16,1),0),Sheet4!$A$5:$A$118,0)),"")</x:f>
        <x:v>40384</x:v>
      </x:c>
      <x:c r="C16" s="102" t="n">
        <x:f>IFERROR(INDEX(Sheet4!$E$5:$E$118,MATCH(EOMONTH(DATE(C$4,$A16,1),0),Sheet4!$A$5:$A$118,0)),"")</x:f>
        <x:v>39555</x:v>
      </x:c>
      <x:c r="D16" s="102" t="n">
        <x:f>IFERROR(INDEX(Sheet4!$E$5:$E$118,MATCH(EOMONTH(DATE(D$4,$A16,1),0),Sheet4!$A$5:$A$118,0)),"")</x:f>
        <x:v>40188</x:v>
      </x:c>
      <x:c r="E16" s="102" t="n">
        <x:f>IFERROR(INDEX(Sheet4!$E$5:$E$118,MATCH(EOMONTH(DATE(E$4,$A16,1),0),Sheet4!$A$5:$A$118,0)),"")</x:f>
        <x:v>46077</x:v>
      </x:c>
      <x:c r="F16" s="102" t="str">
        <x:f>IFERROR(INDEX(Sheet4!$E$5:$E$118,MATCH(EOMONTH(DATE(F$4,$A16,1),0),Sheet4!$A$5:$A$118,0)),"")</x:f>
      </x:c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  <x:row r="51">
      <x:c r="A51"/>
      <x:c r="B51"/>
      <x:c r="C51"/>
    </x:row>
    <x:row r="52">
      <x:c r="A52"/>
      <x:c r="B52"/>
      <x:c r="C52"/>
    </x:row>
    <x:row r="53">
      <x:c r="A53"/>
      <x:c r="B53"/>
      <x:c r="C53"/>
    </x:row>
    <x:row r="54">
      <x:c r="A54"/>
      <x:c r="B54"/>
      <x:c r="C54"/>
    </x:row>
    <x:row r="55">
      <x:c r="A55"/>
      <x:c r="B55"/>
      <x:c r="C55"/>
    </x:row>
    <x:row r="56">
      <x:c r="A56"/>
      <x:c r="B56"/>
      <x:c r="C56"/>
    </x:row>
    <x:row r="57">
      <x:c r="A57"/>
      <x:c r="B57"/>
      <x:c r="C57"/>
    </x:row>
    <x:row r="58">
      <x:c r="A58"/>
      <x:c r="B58"/>
      <x:c r="C58"/>
    </x:row>
    <x:row r="59">
      <x:c r="A59"/>
      <x:c r="B59"/>
      <x:c r="C59"/>
    </x:row>
    <x:row r="60">
      <x:c r="A60"/>
      <x:c r="B60"/>
      <x:c r="C60"/>
    </x:row>
    <x:row r="61">
      <x:c r="A61"/>
      <x:c r="B61"/>
      <x:c r="C61"/>
    </x:row>
    <x:row r="62">
      <x:c r="A62"/>
      <x:c r="B62"/>
      <x:c r="C62"/>
    </x:row>
    <x:row r="63">
      <x:c r="A63"/>
      <x:c r="B63"/>
      <x:c r="C63"/>
    </x:row>
    <x:row r="64">
      <x:c r="A64"/>
      <x:c r="B64"/>
      <x:c r="C64"/>
    </x:row>
    <x:row r="65">
      <x:c r="A65"/>
      <x:c r="B65"/>
      <x:c r="C65"/>
    </x:row>
    <x:row r="66">
      <x:c r="A66"/>
      <x:c r="B66"/>
      <x:c r="C66"/>
    </x:row>
    <x:row r="67">
      <x:c r="A67"/>
      <x:c r="B67"/>
      <x:c r="C67"/>
    </x:row>
    <x:row r="68">
      <x:c r="A68"/>
      <x:c r="B68"/>
      <x:c r="C68"/>
    </x:row>
    <x:row r="69">
      <x:c r="A69"/>
      <x:c r="B69"/>
      <x:c r="C69"/>
    </x:row>
    <x:row r="70">
      <x:c r="A70"/>
      <x:c r="B70"/>
      <x:c r="C70"/>
    </x:row>
    <x:row r="71">
      <x:c r="A71"/>
      <x:c r="B71"/>
      <x:c r="C71"/>
    </x:row>
    <x:row r="72">
      <x:c r="A72"/>
      <x:c r="B72"/>
      <x:c r="C72"/>
    </x:row>
    <x:row r="73">
      <x:c r="A73"/>
      <x:c r="B73"/>
      <x:c r="C73"/>
    </x:row>
    <x:row r="74">
      <x:c r="A74"/>
      <x:c r="B74"/>
      <x:c r="C74"/>
    </x:row>
    <x:row r="75">
      <x:c r="A75"/>
      <x:c r="B75"/>
      <x:c r="C75"/>
    </x:row>
    <x:row r="76">
      <x:c r="A76"/>
      <x:c r="B76"/>
      <x:c r="C76"/>
    </x:row>
  </x:sheetData>
  <x:mergeCells>
    <x:mergeCell ref="A1:C1"/>
    <x:mergeCell ref="A2:C2"/>
    <x:mergeCell ref="A1:K1"/>
    <x:mergeCell ref="A2:K2"/>
  </x:mergeCells>
  <x:pageMargins left="0.7" right="0.7" top="0.75" bottom="0.75" header="0.3" footer="0.3"/>
  <x:drawing xmlns:r="http://schemas.openxmlformats.org/officeDocument/2006/relationships" r:id="Rb19c685a58fb4ce1"/>
</x:worksheet>
</file>